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exported_analysis/"/>
    </mc:Choice>
  </mc:AlternateContent>
  <xr:revisionPtr revIDLastSave="21" documentId="8_{EAC35ADF-3472-43AE-B415-8D2D1FAB817F}" xr6:coauthVersionLast="47" xr6:coauthVersionMax="47" xr10:uidLastSave="{EC8F9A66-8FA0-4FDA-880C-D4E5A0D449B2}"/>
  <bookViews>
    <workbookView xWindow="25490" yWindow="5060" windowWidth="19420" windowHeight="10300" activeTab="3" xr2:uid="{00000000-000D-0000-FFFF-FFFF00000000}"/>
  </bookViews>
  <sheets>
    <sheet name="Units_Reimbursed" sheetId="1" r:id="rId1"/>
    <sheet name="Prescriptions" sheetId="2" r:id="rId2"/>
    <sheet name="Indiana" sheetId="4" r:id="rId3"/>
    <sheet name="Indiana Vs National" sheetId="5" r:id="rId4"/>
    <sheet name="NDC_Count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5" l="1"/>
  <c r="R7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33" i="5"/>
  <c r="R29" i="5"/>
  <c r="R28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7" i="5"/>
  <c r="R30" i="5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" i="4"/>
</calcChain>
</file>

<file path=xl/sharedStrings.xml><?xml version="1.0" encoding="utf-8"?>
<sst xmlns="http://schemas.openxmlformats.org/spreadsheetml/2006/main" count="755" uniqueCount="128">
  <si>
    <t>ATC_Class</t>
  </si>
  <si>
    <t>Units_2017</t>
  </si>
  <si>
    <t>Units_2018</t>
  </si>
  <si>
    <t>Units_2019</t>
  </si>
  <si>
    <t>Units_2020</t>
  </si>
  <si>
    <t>Units_2021</t>
  </si>
  <si>
    <t>Units_2022</t>
  </si>
  <si>
    <t>Units_2023</t>
  </si>
  <si>
    <t>Units_2024</t>
  </si>
  <si>
    <t>Total_Units</t>
  </si>
  <si>
    <t>Percentage</t>
  </si>
  <si>
    <t>Cumulative_Units</t>
  </si>
  <si>
    <t>Cumulative_Percentage</t>
  </si>
  <si>
    <t>N06</t>
  </si>
  <si>
    <t>N02</t>
  </si>
  <si>
    <t>A06</t>
  </si>
  <si>
    <t>N05</t>
  </si>
  <si>
    <t>J01</t>
  </si>
  <si>
    <t>B05</t>
  </si>
  <si>
    <t>N03</t>
  </si>
  <si>
    <t>R03</t>
  </si>
  <si>
    <t>A12</t>
  </si>
  <si>
    <t>A10</t>
  </si>
  <si>
    <t>A02</t>
  </si>
  <si>
    <t>C07</t>
  </si>
  <si>
    <t>R06</t>
  </si>
  <si>
    <t>C10</t>
  </si>
  <si>
    <t>C09</t>
  </si>
  <si>
    <t>M03</t>
  </si>
  <si>
    <t>S01</t>
  </si>
  <si>
    <t>C03</t>
  </si>
  <si>
    <t>R05</t>
  </si>
  <si>
    <t>B02</t>
  </si>
  <si>
    <t>H03</t>
  </si>
  <si>
    <t>M01</t>
  </si>
  <si>
    <t>C08</t>
  </si>
  <si>
    <t>C02</t>
  </si>
  <si>
    <t>B01</t>
  </si>
  <si>
    <t>G04</t>
  </si>
  <si>
    <t>G03</t>
  </si>
  <si>
    <t>D07</t>
  </si>
  <si>
    <t>R01</t>
  </si>
  <si>
    <t>N07</t>
  </si>
  <si>
    <t>M02</t>
  </si>
  <si>
    <t>A01</t>
  </si>
  <si>
    <t>A03</t>
  </si>
  <si>
    <t>C01</t>
  </si>
  <si>
    <t>A07</t>
  </si>
  <si>
    <t>R02</t>
  </si>
  <si>
    <t>N04</t>
  </si>
  <si>
    <t>J05</t>
  </si>
  <si>
    <t>A04</t>
  </si>
  <si>
    <t>D01</t>
  </si>
  <si>
    <t>G02</t>
  </si>
  <si>
    <t>D10</t>
  </si>
  <si>
    <t>G01</t>
  </si>
  <si>
    <t>S02</t>
  </si>
  <si>
    <t>H02</t>
  </si>
  <si>
    <t>L04</t>
  </si>
  <si>
    <t>D11</t>
  </si>
  <si>
    <t>B03</t>
  </si>
  <si>
    <t>V03</t>
  </si>
  <si>
    <t>L01</t>
  </si>
  <si>
    <t>D04</t>
  </si>
  <si>
    <t>A09</t>
  </si>
  <si>
    <t>P03</t>
  </si>
  <si>
    <t>C05</t>
  </si>
  <si>
    <t>D06</t>
  </si>
  <si>
    <t>S03</t>
  </si>
  <si>
    <t>D08</t>
  </si>
  <si>
    <t>D02</t>
  </si>
  <si>
    <t>V07</t>
  </si>
  <si>
    <t>V04</t>
  </si>
  <si>
    <t>L02</t>
  </si>
  <si>
    <t>P01</t>
  </si>
  <si>
    <t>M04</t>
  </si>
  <si>
    <t>A16</t>
  </si>
  <si>
    <t>A11</t>
  </si>
  <si>
    <t>J02</t>
  </si>
  <si>
    <t>D09</t>
  </si>
  <si>
    <t>H01</t>
  </si>
  <si>
    <t>N01</t>
  </si>
  <si>
    <t>V06</t>
  </si>
  <si>
    <t>J06</t>
  </si>
  <si>
    <t>D05</t>
  </si>
  <si>
    <t>B06</t>
  </si>
  <si>
    <t>A05</t>
  </si>
  <si>
    <t>R07</t>
  </si>
  <si>
    <t>M05</t>
  </si>
  <si>
    <t>C04</t>
  </si>
  <si>
    <t>J04</t>
  </si>
  <si>
    <t>H05</t>
  </si>
  <si>
    <t>M09</t>
  </si>
  <si>
    <t>D03</t>
  </si>
  <si>
    <t>P02</t>
  </si>
  <si>
    <t>L03</t>
  </si>
  <si>
    <t>H04</t>
  </si>
  <si>
    <t>A08</t>
  </si>
  <si>
    <t>A14</t>
  </si>
  <si>
    <t>Prescriptions_2017</t>
  </si>
  <si>
    <t>Prescriptions_2018</t>
  </si>
  <si>
    <t>Prescriptions_2019</t>
  </si>
  <si>
    <t>Prescriptions_2020</t>
  </si>
  <si>
    <t>Prescriptions_2021</t>
  </si>
  <si>
    <t>Prescriptions_2022</t>
  </si>
  <si>
    <t>Prescriptions_2023</t>
  </si>
  <si>
    <t>Prescriptions_2024</t>
  </si>
  <si>
    <t>Total_Prescriptions</t>
  </si>
  <si>
    <t>Cumulative_Prescriptions</t>
  </si>
  <si>
    <t>NDCs_2017</t>
  </si>
  <si>
    <t>NDCs_2018</t>
  </si>
  <si>
    <t>NDCs_2019</t>
  </si>
  <si>
    <t>NDCs_2020</t>
  </si>
  <si>
    <t>NDCs_2021</t>
  </si>
  <si>
    <t>NDCs_2022</t>
  </si>
  <si>
    <t>NDCs_2023</t>
  </si>
  <si>
    <t>NDCs_2024</t>
  </si>
  <si>
    <t>Total_NDCs</t>
  </si>
  <si>
    <t>Cumulative_NDCs</t>
  </si>
  <si>
    <t>Cumulative_Percentage_NDCs</t>
  </si>
  <si>
    <t>VLOOKUP</t>
  </si>
  <si>
    <t>INDIANA VS NATIONAL</t>
  </si>
  <si>
    <t>INDIANA</t>
  </si>
  <si>
    <t>NATIONAL</t>
  </si>
  <si>
    <t>VLOOKUP GENERAL</t>
  </si>
  <si>
    <t>Indiana Vs NATIONAL (ANALYSIS - ACROSS)</t>
  </si>
  <si>
    <t>Comparing units Vs prescriptions in Indiana state</t>
  </si>
  <si>
    <t>Comparing units Vs prescriptions NATIONALLY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</si>
</sst>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0" fillId="6" borderId="0" xfId="0" applyFill="1"/>
    <xf numFmtId="0" fontId="0" fillId="7" borderId="0" xfId="0" applyFill="1"/>
    <xf numFmtId="0" fontId="2" fillId="7" borderId="0" xfId="0" applyFont="1" applyFill="1" applyAlignment="1">
      <alignment wrapText="1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"/>
  <sheetViews>
    <sheetView workbookViewId="0">
      <selection activeCell="C9" sqref="C9"/>
    </sheetView>
  </sheetViews>
  <sheetFormatPr defaultColWidth="12.81640625" defaultRowHeight="14.5" x14ac:dyDescent="0.35"/>
  <cols>
    <col min="12" max="12" width="19.9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7.1999999999999995E-2</v>
      </c>
      <c r="C2">
        <v>7.6999999999999999E-2</v>
      </c>
      <c r="D2">
        <v>8.1000000000000003E-2</v>
      </c>
      <c r="E2">
        <v>9.2999999999999999E-2</v>
      </c>
      <c r="F2">
        <v>0.111</v>
      </c>
      <c r="G2">
        <v>0.122</v>
      </c>
      <c r="H2">
        <v>0.126</v>
      </c>
      <c r="I2">
        <v>0.113</v>
      </c>
      <c r="J2">
        <v>0.79500000000000004</v>
      </c>
      <c r="K2">
        <v>9.57</v>
      </c>
      <c r="L2">
        <v>0.79500000000000004</v>
      </c>
      <c r="M2">
        <v>9.57</v>
      </c>
    </row>
    <row r="3" spans="1:13" x14ac:dyDescent="0.35">
      <c r="A3" t="s">
        <v>14</v>
      </c>
      <c r="B3">
        <v>7.9000000000000001E-2</v>
      </c>
      <c r="C3">
        <v>7.1999999999999995E-2</v>
      </c>
      <c r="D3">
        <v>7.0000000000000007E-2</v>
      </c>
      <c r="E3">
        <v>8.2000000000000003E-2</v>
      </c>
      <c r="F3">
        <v>9.7000000000000003E-2</v>
      </c>
      <c r="G3">
        <v>0.106</v>
      </c>
      <c r="H3">
        <v>0.104</v>
      </c>
      <c r="I3">
        <v>9.7000000000000003E-2</v>
      </c>
      <c r="J3">
        <v>0.70699999999999996</v>
      </c>
      <c r="K3">
        <v>8.51</v>
      </c>
      <c r="L3">
        <v>1.502</v>
      </c>
      <c r="M3">
        <v>18.079999999999998</v>
      </c>
    </row>
    <row r="4" spans="1:13" x14ac:dyDescent="0.35">
      <c r="A4" t="s">
        <v>15</v>
      </c>
      <c r="B4">
        <v>3.9E-2</v>
      </c>
      <c r="C4">
        <v>5.3999999999999999E-2</v>
      </c>
      <c r="D4">
        <v>7.0999999999999994E-2</v>
      </c>
      <c r="E4">
        <v>9.0999999999999998E-2</v>
      </c>
      <c r="F4">
        <v>0.09</v>
      </c>
      <c r="G4">
        <v>7.8E-2</v>
      </c>
      <c r="H4">
        <v>8.2000000000000003E-2</v>
      </c>
      <c r="I4">
        <v>8.7999999999999995E-2</v>
      </c>
      <c r="J4">
        <v>0.59199999999999997</v>
      </c>
      <c r="K4">
        <v>7.12</v>
      </c>
      <c r="L4">
        <v>2.093</v>
      </c>
      <c r="M4">
        <v>25.2</v>
      </c>
    </row>
    <row r="5" spans="1:13" x14ac:dyDescent="0.35">
      <c r="A5" t="s">
        <v>16</v>
      </c>
      <c r="B5">
        <v>4.7E-2</v>
      </c>
      <c r="C5">
        <v>4.9000000000000002E-2</v>
      </c>
      <c r="D5">
        <v>5.0999999999999997E-2</v>
      </c>
      <c r="E5">
        <v>6.2E-2</v>
      </c>
      <c r="F5">
        <v>7.0999999999999994E-2</v>
      </c>
      <c r="G5">
        <v>7.5999999999999998E-2</v>
      </c>
      <c r="H5">
        <v>7.8E-2</v>
      </c>
      <c r="I5">
        <v>7.1999999999999995E-2</v>
      </c>
      <c r="J5">
        <v>0.50700000000000001</v>
      </c>
      <c r="K5">
        <v>6.1</v>
      </c>
      <c r="L5">
        <v>2.6</v>
      </c>
      <c r="M5">
        <v>31.3</v>
      </c>
    </row>
    <row r="6" spans="1:13" x14ac:dyDescent="0.35">
      <c r="A6" t="s">
        <v>17</v>
      </c>
      <c r="B6">
        <v>5.8000000000000003E-2</v>
      </c>
      <c r="C6">
        <v>5.5E-2</v>
      </c>
      <c r="D6">
        <v>5.8000000000000003E-2</v>
      </c>
      <c r="E6">
        <v>4.2000000000000003E-2</v>
      </c>
      <c r="F6">
        <v>4.8000000000000001E-2</v>
      </c>
      <c r="G6">
        <v>5.8999999999999997E-2</v>
      </c>
      <c r="H6">
        <v>7.0000000000000007E-2</v>
      </c>
      <c r="I6">
        <v>6.7000000000000004E-2</v>
      </c>
      <c r="J6">
        <v>0.45700000000000002</v>
      </c>
      <c r="K6">
        <v>5.5</v>
      </c>
      <c r="L6">
        <v>3.0569999999999999</v>
      </c>
      <c r="M6">
        <v>36.81</v>
      </c>
    </row>
    <row r="7" spans="1:13" x14ac:dyDescent="0.35">
      <c r="A7" t="s">
        <v>18</v>
      </c>
      <c r="B7">
        <v>5.8999999999999997E-2</v>
      </c>
      <c r="C7">
        <v>5.8000000000000003E-2</v>
      </c>
      <c r="D7">
        <v>1.9E-2</v>
      </c>
      <c r="E7">
        <v>4.2999999999999997E-2</v>
      </c>
      <c r="F7">
        <v>5.8999999999999997E-2</v>
      </c>
      <c r="G7">
        <v>0.105</v>
      </c>
      <c r="H7">
        <v>3.3000000000000002E-2</v>
      </c>
      <c r="I7">
        <v>6.7000000000000004E-2</v>
      </c>
      <c r="J7">
        <v>0.443</v>
      </c>
      <c r="K7">
        <v>5.33</v>
      </c>
      <c r="L7">
        <v>3.5</v>
      </c>
      <c r="M7">
        <v>42.14</v>
      </c>
    </row>
    <row r="8" spans="1:13" x14ac:dyDescent="0.35">
      <c r="A8" t="s">
        <v>19</v>
      </c>
      <c r="B8">
        <v>4.5999999999999999E-2</v>
      </c>
      <c r="C8">
        <v>0.05</v>
      </c>
      <c r="D8">
        <v>5.0999999999999997E-2</v>
      </c>
      <c r="E8">
        <v>5.6000000000000001E-2</v>
      </c>
      <c r="F8">
        <v>5.8999999999999997E-2</v>
      </c>
      <c r="G8">
        <v>0.06</v>
      </c>
      <c r="H8">
        <v>6.2E-2</v>
      </c>
      <c r="I8">
        <v>5.8999999999999997E-2</v>
      </c>
      <c r="J8">
        <v>0.443</v>
      </c>
      <c r="K8">
        <v>5.33</v>
      </c>
      <c r="L8">
        <v>3.9430000000000001</v>
      </c>
      <c r="M8">
        <v>47.47</v>
      </c>
    </row>
    <row r="9" spans="1:13" x14ac:dyDescent="0.35">
      <c r="A9" t="s">
        <v>20</v>
      </c>
      <c r="B9">
        <v>4.3999999999999997E-2</v>
      </c>
      <c r="C9">
        <v>4.9000000000000002E-2</v>
      </c>
      <c r="D9">
        <v>4.8000000000000001E-2</v>
      </c>
      <c r="E9">
        <v>5.1999999999999998E-2</v>
      </c>
      <c r="F9">
        <v>5.1999999999999998E-2</v>
      </c>
      <c r="G9">
        <v>5.2999999999999999E-2</v>
      </c>
      <c r="H9">
        <v>5.2999999999999999E-2</v>
      </c>
      <c r="I9">
        <v>4.4999999999999998E-2</v>
      </c>
      <c r="J9">
        <v>0.39800000000000002</v>
      </c>
      <c r="K9">
        <v>4.79</v>
      </c>
      <c r="L9">
        <v>4.34</v>
      </c>
      <c r="M9">
        <v>52.26</v>
      </c>
    </row>
    <row r="10" spans="1:13" x14ac:dyDescent="0.35">
      <c r="A10" t="s">
        <v>21</v>
      </c>
      <c r="B10">
        <v>2.7E-2</v>
      </c>
      <c r="C10">
        <v>1.2E-2</v>
      </c>
      <c r="D10">
        <v>5.5E-2</v>
      </c>
      <c r="E10">
        <v>2.1999999999999999E-2</v>
      </c>
      <c r="F10">
        <v>1.7000000000000001E-2</v>
      </c>
      <c r="G10">
        <v>1.2999999999999999E-2</v>
      </c>
      <c r="H10">
        <v>9.8000000000000004E-2</v>
      </c>
      <c r="I10">
        <v>4.1000000000000002E-2</v>
      </c>
      <c r="J10">
        <v>0.28599999999999998</v>
      </c>
      <c r="K10">
        <v>3.44</v>
      </c>
      <c r="L10">
        <v>4.6260000000000003</v>
      </c>
      <c r="M10">
        <v>55.7</v>
      </c>
    </row>
    <row r="11" spans="1:13" x14ac:dyDescent="0.35">
      <c r="A11" t="s">
        <v>22</v>
      </c>
      <c r="B11">
        <v>2.4E-2</v>
      </c>
      <c r="C11">
        <v>2.5999999999999999E-2</v>
      </c>
      <c r="D11">
        <v>2.8000000000000001E-2</v>
      </c>
      <c r="E11">
        <v>3.3000000000000002E-2</v>
      </c>
      <c r="F11">
        <v>3.9E-2</v>
      </c>
      <c r="G11">
        <v>4.2000000000000003E-2</v>
      </c>
      <c r="H11">
        <v>4.2999999999999997E-2</v>
      </c>
      <c r="I11">
        <v>3.7999999999999999E-2</v>
      </c>
      <c r="J11">
        <v>0.27300000000000002</v>
      </c>
      <c r="K11">
        <v>3.28</v>
      </c>
      <c r="L11">
        <v>4.899</v>
      </c>
      <c r="M11">
        <v>58.98</v>
      </c>
    </row>
    <row r="12" spans="1:13" x14ac:dyDescent="0.35">
      <c r="A12" t="s">
        <v>23</v>
      </c>
      <c r="B12">
        <v>0.02</v>
      </c>
      <c r="C12">
        <v>0.02</v>
      </c>
      <c r="D12">
        <v>2.1999999999999999E-2</v>
      </c>
      <c r="E12">
        <v>2.5000000000000001E-2</v>
      </c>
      <c r="F12">
        <v>3.3000000000000002E-2</v>
      </c>
      <c r="G12">
        <v>3.5000000000000003E-2</v>
      </c>
      <c r="H12">
        <v>3.9E-2</v>
      </c>
      <c r="I12">
        <v>0.03</v>
      </c>
      <c r="J12">
        <v>0.223</v>
      </c>
      <c r="K12">
        <v>2.69</v>
      </c>
      <c r="L12">
        <v>5.1219999999999999</v>
      </c>
      <c r="M12">
        <v>61.67</v>
      </c>
    </row>
    <row r="13" spans="1:13" x14ac:dyDescent="0.35">
      <c r="A13" t="s">
        <v>24</v>
      </c>
      <c r="B13">
        <v>1.7000000000000001E-2</v>
      </c>
      <c r="C13">
        <v>0.02</v>
      </c>
      <c r="D13">
        <v>2.1000000000000001E-2</v>
      </c>
      <c r="E13">
        <v>2.4E-2</v>
      </c>
      <c r="F13">
        <v>2.9000000000000001E-2</v>
      </c>
      <c r="G13">
        <v>3.1E-2</v>
      </c>
      <c r="H13">
        <v>3.1E-2</v>
      </c>
      <c r="I13">
        <v>2.8000000000000001E-2</v>
      </c>
      <c r="J13">
        <v>0.2</v>
      </c>
      <c r="K13">
        <v>2.41</v>
      </c>
      <c r="L13">
        <v>5.3220000000000001</v>
      </c>
      <c r="M13">
        <v>64.08</v>
      </c>
    </row>
    <row r="14" spans="1:13" x14ac:dyDescent="0.35">
      <c r="A14" t="s">
        <v>25</v>
      </c>
      <c r="B14">
        <v>2.7E-2</v>
      </c>
      <c r="C14">
        <v>0.02</v>
      </c>
      <c r="D14">
        <v>2.4E-2</v>
      </c>
      <c r="E14">
        <v>2.3E-2</v>
      </c>
      <c r="F14">
        <v>0.03</v>
      </c>
      <c r="G14">
        <v>2.5999999999999999E-2</v>
      </c>
      <c r="H14">
        <v>2.8000000000000001E-2</v>
      </c>
      <c r="I14">
        <v>2.1000000000000001E-2</v>
      </c>
      <c r="J14">
        <v>0.19900000000000001</v>
      </c>
      <c r="K14">
        <v>2.39</v>
      </c>
      <c r="L14">
        <v>5.5209999999999999</v>
      </c>
      <c r="M14">
        <v>66.48</v>
      </c>
    </row>
    <row r="15" spans="1:13" x14ac:dyDescent="0.35">
      <c r="A15" t="s">
        <v>26</v>
      </c>
      <c r="B15">
        <v>1.6E-2</v>
      </c>
      <c r="C15">
        <v>1.7999999999999999E-2</v>
      </c>
      <c r="D15">
        <v>0.02</v>
      </c>
      <c r="E15">
        <v>2.3E-2</v>
      </c>
      <c r="F15">
        <v>2.8000000000000001E-2</v>
      </c>
      <c r="G15">
        <v>3.1E-2</v>
      </c>
      <c r="H15">
        <v>3.2000000000000001E-2</v>
      </c>
      <c r="I15">
        <v>2.9000000000000001E-2</v>
      </c>
      <c r="J15">
        <v>0.19900000000000001</v>
      </c>
      <c r="K15">
        <v>2.39</v>
      </c>
      <c r="L15">
        <v>5.72</v>
      </c>
      <c r="M15">
        <v>68.87</v>
      </c>
    </row>
    <row r="16" spans="1:13" x14ac:dyDescent="0.35">
      <c r="A16" t="s">
        <v>27</v>
      </c>
      <c r="B16">
        <v>1.6E-2</v>
      </c>
      <c r="C16">
        <v>1.7000000000000001E-2</v>
      </c>
      <c r="D16">
        <v>1.7999999999999999E-2</v>
      </c>
      <c r="E16">
        <v>0.02</v>
      </c>
      <c r="F16">
        <v>2.4E-2</v>
      </c>
      <c r="G16">
        <v>2.8000000000000001E-2</v>
      </c>
      <c r="H16">
        <v>2.9000000000000001E-2</v>
      </c>
      <c r="I16">
        <v>2.4E-2</v>
      </c>
      <c r="J16">
        <v>0.17699999999999999</v>
      </c>
      <c r="K16">
        <v>2.13</v>
      </c>
      <c r="L16">
        <v>5.8959999999999999</v>
      </c>
      <c r="M16">
        <v>70.989999999999995</v>
      </c>
    </row>
    <row r="17" spans="1:13" x14ac:dyDescent="0.35">
      <c r="A17" t="s">
        <v>28</v>
      </c>
      <c r="B17">
        <v>1.7000000000000001E-2</v>
      </c>
      <c r="C17">
        <v>1.7999999999999999E-2</v>
      </c>
      <c r="D17">
        <v>1.9E-2</v>
      </c>
      <c r="E17">
        <v>0.02</v>
      </c>
      <c r="F17">
        <v>2.1999999999999999E-2</v>
      </c>
      <c r="G17">
        <v>2.4E-2</v>
      </c>
      <c r="H17">
        <v>2.4E-2</v>
      </c>
      <c r="I17">
        <v>2.1000000000000001E-2</v>
      </c>
      <c r="J17">
        <v>0.16500000000000001</v>
      </c>
      <c r="K17">
        <v>1.99</v>
      </c>
      <c r="L17">
        <v>6.0620000000000003</v>
      </c>
      <c r="M17">
        <v>72.98</v>
      </c>
    </row>
    <row r="18" spans="1:13" x14ac:dyDescent="0.35">
      <c r="A18" t="s">
        <v>29</v>
      </c>
      <c r="B18">
        <v>0.02</v>
      </c>
      <c r="C18">
        <v>1.7000000000000001E-2</v>
      </c>
      <c r="D18">
        <v>1.6E-2</v>
      </c>
      <c r="E18">
        <v>1.7000000000000001E-2</v>
      </c>
      <c r="F18">
        <v>1.9E-2</v>
      </c>
      <c r="G18">
        <v>0.02</v>
      </c>
      <c r="H18">
        <v>2.1999999999999999E-2</v>
      </c>
      <c r="I18">
        <v>2.1000000000000001E-2</v>
      </c>
      <c r="J18">
        <v>0.153</v>
      </c>
      <c r="K18">
        <v>1.84</v>
      </c>
      <c r="L18">
        <v>6.2140000000000004</v>
      </c>
      <c r="M18">
        <v>74.819999999999993</v>
      </c>
    </row>
    <row r="19" spans="1:13" x14ac:dyDescent="0.35">
      <c r="A19" t="s">
        <v>30</v>
      </c>
      <c r="B19">
        <v>1.2E-2</v>
      </c>
      <c r="C19">
        <v>1.4E-2</v>
      </c>
      <c r="D19">
        <v>1.4999999999999999E-2</v>
      </c>
      <c r="E19">
        <v>1.7000000000000001E-2</v>
      </c>
      <c r="F19">
        <v>2.1000000000000001E-2</v>
      </c>
      <c r="G19">
        <v>0.02</v>
      </c>
      <c r="H19">
        <v>0.02</v>
      </c>
      <c r="I19">
        <v>1.7999999999999999E-2</v>
      </c>
      <c r="J19">
        <v>0.13600000000000001</v>
      </c>
      <c r="K19">
        <v>1.63</v>
      </c>
      <c r="L19">
        <v>6.35</v>
      </c>
      <c r="M19">
        <v>76.459999999999994</v>
      </c>
    </row>
    <row r="20" spans="1:13" x14ac:dyDescent="0.35">
      <c r="A20" t="s">
        <v>31</v>
      </c>
      <c r="B20">
        <v>1.4E-2</v>
      </c>
      <c r="C20">
        <v>1.6E-2</v>
      </c>
      <c r="D20">
        <v>1.4999999999999999E-2</v>
      </c>
      <c r="E20">
        <v>1.2E-2</v>
      </c>
      <c r="F20">
        <v>7.0000000000000001E-3</v>
      </c>
      <c r="G20">
        <v>1.4999999999999999E-2</v>
      </c>
      <c r="H20">
        <v>1.4999999999999999E-2</v>
      </c>
      <c r="I20">
        <v>1.4999999999999999E-2</v>
      </c>
      <c r="J20">
        <v>0.108</v>
      </c>
      <c r="K20">
        <v>1.3</v>
      </c>
      <c r="L20">
        <v>6.4580000000000002</v>
      </c>
      <c r="M20">
        <v>77.760000000000005</v>
      </c>
    </row>
    <row r="21" spans="1:13" x14ac:dyDescent="0.35">
      <c r="A21" t="s">
        <v>32</v>
      </c>
      <c r="B21">
        <v>6.0000000000000001E-3</v>
      </c>
      <c r="C21">
        <v>1.2999999999999999E-2</v>
      </c>
      <c r="D21">
        <v>1.0999999999999999E-2</v>
      </c>
      <c r="E21">
        <v>1.7000000000000001E-2</v>
      </c>
      <c r="F21">
        <v>1.2999999999999999E-2</v>
      </c>
      <c r="G21">
        <v>1.2E-2</v>
      </c>
      <c r="H21">
        <v>1.0999999999999999E-2</v>
      </c>
      <c r="I21">
        <v>8.0000000000000002E-3</v>
      </c>
      <c r="J21">
        <v>9.1999999999999998E-2</v>
      </c>
      <c r="K21">
        <v>1.1100000000000001</v>
      </c>
      <c r="L21">
        <v>6.55</v>
      </c>
      <c r="M21">
        <v>78.86</v>
      </c>
    </row>
    <row r="22" spans="1:13" x14ac:dyDescent="0.35">
      <c r="A22" t="s">
        <v>33</v>
      </c>
      <c r="B22">
        <v>8.9999999999999993E-3</v>
      </c>
      <c r="C22">
        <v>8.9999999999999993E-3</v>
      </c>
      <c r="D22">
        <v>8.9999999999999993E-3</v>
      </c>
      <c r="E22">
        <v>1.0999999999999999E-2</v>
      </c>
      <c r="F22">
        <v>1.2E-2</v>
      </c>
      <c r="G22">
        <v>1.2999999999999999E-2</v>
      </c>
      <c r="H22">
        <v>1.4E-2</v>
      </c>
      <c r="I22">
        <v>1.2E-2</v>
      </c>
      <c r="J22">
        <v>8.8999999999999996E-2</v>
      </c>
      <c r="K22">
        <v>1.07</v>
      </c>
      <c r="L22">
        <v>6.6390000000000002</v>
      </c>
      <c r="M22">
        <v>79.94</v>
      </c>
    </row>
    <row r="23" spans="1:13" x14ac:dyDescent="0.35">
      <c r="A23" t="s">
        <v>34</v>
      </c>
      <c r="B23">
        <v>1.0999999999999999E-2</v>
      </c>
      <c r="C23">
        <v>1.2999999999999999E-2</v>
      </c>
      <c r="D23">
        <v>8.9999999999999993E-3</v>
      </c>
      <c r="E23">
        <v>1.2E-2</v>
      </c>
      <c r="F23">
        <v>0.01</v>
      </c>
      <c r="G23">
        <v>8.9999999999999993E-3</v>
      </c>
      <c r="H23">
        <v>1.2E-2</v>
      </c>
      <c r="I23">
        <v>1.2E-2</v>
      </c>
      <c r="J23">
        <v>8.8999999999999996E-2</v>
      </c>
      <c r="K23">
        <v>1.07</v>
      </c>
      <c r="L23">
        <v>6.7279999999999998</v>
      </c>
      <c r="M23">
        <v>81.010000000000005</v>
      </c>
    </row>
    <row r="24" spans="1:13" x14ac:dyDescent="0.35">
      <c r="A24" t="s">
        <v>35</v>
      </c>
      <c r="B24">
        <v>7.0000000000000001E-3</v>
      </c>
      <c r="C24">
        <v>8.0000000000000002E-3</v>
      </c>
      <c r="D24">
        <v>8.9999999999999993E-3</v>
      </c>
      <c r="E24">
        <v>0.01</v>
      </c>
      <c r="F24">
        <v>1.2E-2</v>
      </c>
      <c r="G24">
        <v>1.2999999999999999E-2</v>
      </c>
      <c r="H24">
        <v>1.4E-2</v>
      </c>
      <c r="I24">
        <v>1.2999999999999999E-2</v>
      </c>
      <c r="J24">
        <v>8.6999999999999994E-2</v>
      </c>
      <c r="K24">
        <v>1.05</v>
      </c>
      <c r="L24">
        <v>6.8150000000000004</v>
      </c>
      <c r="M24">
        <v>82.06</v>
      </c>
    </row>
    <row r="25" spans="1:13" x14ac:dyDescent="0.35">
      <c r="A25" t="s">
        <v>36</v>
      </c>
      <c r="B25">
        <v>7.0000000000000001E-3</v>
      </c>
      <c r="C25">
        <v>7.0000000000000001E-3</v>
      </c>
      <c r="D25">
        <v>0.01</v>
      </c>
      <c r="E25">
        <v>1.0999999999999999E-2</v>
      </c>
      <c r="F25">
        <v>1.0999999999999999E-2</v>
      </c>
      <c r="G25">
        <v>1.2E-2</v>
      </c>
      <c r="H25">
        <v>1.4999999999999999E-2</v>
      </c>
      <c r="I25">
        <v>1.2E-2</v>
      </c>
      <c r="J25">
        <v>8.5000000000000006E-2</v>
      </c>
      <c r="K25">
        <v>1.02</v>
      </c>
      <c r="L25">
        <v>6.9</v>
      </c>
      <c r="M25">
        <v>83.08</v>
      </c>
    </row>
    <row r="26" spans="1:13" x14ac:dyDescent="0.35">
      <c r="A26" t="s">
        <v>37</v>
      </c>
      <c r="B26">
        <v>6.0000000000000001E-3</v>
      </c>
      <c r="C26">
        <v>8.0000000000000002E-3</v>
      </c>
      <c r="D26">
        <v>0.01</v>
      </c>
      <c r="E26">
        <v>8.9999999999999993E-3</v>
      </c>
      <c r="F26">
        <v>1.2E-2</v>
      </c>
      <c r="G26">
        <v>1.2E-2</v>
      </c>
      <c r="H26">
        <v>1.2E-2</v>
      </c>
      <c r="I26">
        <v>1.2E-2</v>
      </c>
      <c r="J26">
        <v>0.08</v>
      </c>
      <c r="K26">
        <v>0.97</v>
      </c>
      <c r="L26">
        <v>6.9809999999999999</v>
      </c>
      <c r="M26">
        <v>84.05</v>
      </c>
    </row>
    <row r="27" spans="1:13" x14ac:dyDescent="0.35">
      <c r="A27" t="s">
        <v>38</v>
      </c>
      <c r="B27">
        <v>0.01</v>
      </c>
      <c r="C27">
        <v>0.01</v>
      </c>
      <c r="D27">
        <v>8.9999999999999993E-3</v>
      </c>
      <c r="E27">
        <v>8.9999999999999993E-3</v>
      </c>
      <c r="F27">
        <v>0.01</v>
      </c>
      <c r="G27">
        <v>1.0999999999999999E-2</v>
      </c>
      <c r="H27">
        <v>8.0000000000000002E-3</v>
      </c>
      <c r="I27">
        <v>1.2E-2</v>
      </c>
      <c r="J27">
        <v>0.08</v>
      </c>
      <c r="K27">
        <v>0.97</v>
      </c>
      <c r="L27">
        <v>7.0609999999999999</v>
      </c>
      <c r="M27">
        <v>85.02</v>
      </c>
    </row>
    <row r="28" spans="1:13" x14ac:dyDescent="0.35">
      <c r="A28" t="s">
        <v>39</v>
      </c>
      <c r="B28">
        <v>7.0000000000000001E-3</v>
      </c>
      <c r="C28">
        <v>7.0000000000000001E-3</v>
      </c>
      <c r="D28">
        <v>7.0000000000000001E-3</v>
      </c>
      <c r="E28">
        <v>8.9999999999999993E-3</v>
      </c>
      <c r="F28">
        <v>1.0999999999999999E-2</v>
      </c>
      <c r="G28">
        <v>1.2999999999999999E-2</v>
      </c>
      <c r="H28">
        <v>1.2999999999999999E-2</v>
      </c>
      <c r="I28">
        <v>1.0999999999999999E-2</v>
      </c>
      <c r="J28">
        <v>7.8E-2</v>
      </c>
      <c r="K28">
        <v>0.93</v>
      </c>
      <c r="L28">
        <v>7.1390000000000002</v>
      </c>
      <c r="M28">
        <v>85.95</v>
      </c>
    </row>
    <row r="29" spans="1:13" x14ac:dyDescent="0.35">
      <c r="A29" t="s">
        <v>40</v>
      </c>
      <c r="B29">
        <v>7.0000000000000001E-3</v>
      </c>
      <c r="C29">
        <v>6.0000000000000001E-3</v>
      </c>
      <c r="D29">
        <v>8.0000000000000002E-3</v>
      </c>
      <c r="E29">
        <v>0.01</v>
      </c>
      <c r="F29">
        <v>7.0000000000000001E-3</v>
      </c>
      <c r="G29">
        <v>8.0000000000000002E-3</v>
      </c>
      <c r="H29">
        <v>1.0999999999999999E-2</v>
      </c>
      <c r="I29">
        <v>1.0999999999999999E-2</v>
      </c>
      <c r="J29">
        <v>6.8000000000000005E-2</v>
      </c>
      <c r="K29">
        <v>0.81</v>
      </c>
      <c r="L29">
        <v>7.2060000000000004</v>
      </c>
      <c r="M29">
        <v>86.76</v>
      </c>
    </row>
    <row r="30" spans="1:13" x14ac:dyDescent="0.35">
      <c r="A30" t="s">
        <v>41</v>
      </c>
      <c r="B30">
        <v>8.0000000000000002E-3</v>
      </c>
      <c r="C30">
        <v>8.9999999999999993E-3</v>
      </c>
      <c r="D30">
        <v>1.0999999999999999E-2</v>
      </c>
      <c r="E30">
        <v>5.0000000000000001E-3</v>
      </c>
      <c r="F30">
        <v>0.01</v>
      </c>
      <c r="G30">
        <v>8.9999999999999993E-3</v>
      </c>
      <c r="H30">
        <v>5.0000000000000001E-3</v>
      </c>
      <c r="I30">
        <v>7.0000000000000001E-3</v>
      </c>
      <c r="J30">
        <v>6.4000000000000001E-2</v>
      </c>
      <c r="K30">
        <v>0.77</v>
      </c>
      <c r="L30">
        <v>7.27</v>
      </c>
      <c r="M30">
        <v>87.53</v>
      </c>
    </row>
    <row r="31" spans="1:13" x14ac:dyDescent="0.35">
      <c r="A31" t="s">
        <v>42</v>
      </c>
      <c r="B31">
        <v>5.0000000000000001E-3</v>
      </c>
      <c r="C31">
        <v>7.0000000000000001E-3</v>
      </c>
      <c r="D31">
        <v>7.0000000000000001E-3</v>
      </c>
      <c r="E31">
        <v>8.0000000000000002E-3</v>
      </c>
      <c r="F31">
        <v>8.0000000000000002E-3</v>
      </c>
      <c r="G31">
        <v>1.2E-2</v>
      </c>
      <c r="H31">
        <v>8.0000000000000002E-3</v>
      </c>
      <c r="I31">
        <v>8.9999999999999993E-3</v>
      </c>
      <c r="J31">
        <v>6.3E-2</v>
      </c>
      <c r="K31">
        <v>0.76</v>
      </c>
      <c r="L31">
        <v>7.3330000000000002</v>
      </c>
      <c r="M31">
        <v>88.29</v>
      </c>
    </row>
    <row r="32" spans="1:13" x14ac:dyDescent="0.35">
      <c r="A32" t="s">
        <v>43</v>
      </c>
      <c r="B32">
        <v>0.01</v>
      </c>
      <c r="C32">
        <v>2E-3</v>
      </c>
      <c r="D32">
        <v>0.01</v>
      </c>
      <c r="E32">
        <v>5.0000000000000001E-3</v>
      </c>
      <c r="F32">
        <v>6.0000000000000001E-3</v>
      </c>
      <c r="G32">
        <v>1.2E-2</v>
      </c>
      <c r="H32">
        <v>1.4E-2</v>
      </c>
      <c r="I32">
        <v>2E-3</v>
      </c>
      <c r="J32">
        <v>6.0999999999999999E-2</v>
      </c>
      <c r="K32">
        <v>0.74</v>
      </c>
      <c r="L32">
        <v>7.3940000000000001</v>
      </c>
      <c r="M32">
        <v>89.03</v>
      </c>
    </row>
    <row r="33" spans="1:13" x14ac:dyDescent="0.35">
      <c r="A33" t="s">
        <v>44</v>
      </c>
      <c r="B33">
        <v>7.0000000000000001E-3</v>
      </c>
      <c r="C33">
        <v>5.0000000000000001E-3</v>
      </c>
      <c r="D33">
        <v>6.0000000000000001E-3</v>
      </c>
      <c r="E33">
        <v>8.0000000000000002E-3</v>
      </c>
      <c r="F33">
        <v>8.9999999999999993E-3</v>
      </c>
      <c r="G33">
        <v>6.0000000000000001E-3</v>
      </c>
      <c r="H33">
        <v>1.0999999999999999E-2</v>
      </c>
      <c r="I33">
        <v>5.0000000000000001E-3</v>
      </c>
      <c r="J33">
        <v>5.8000000000000003E-2</v>
      </c>
      <c r="K33">
        <v>0.7</v>
      </c>
      <c r="L33">
        <v>7.452</v>
      </c>
      <c r="M33">
        <v>89.73</v>
      </c>
    </row>
    <row r="34" spans="1:13" x14ac:dyDescent="0.35">
      <c r="A34" t="s">
        <v>45</v>
      </c>
      <c r="B34">
        <v>5.0000000000000001E-3</v>
      </c>
      <c r="C34">
        <v>6.0000000000000001E-3</v>
      </c>
      <c r="D34">
        <v>6.0000000000000001E-3</v>
      </c>
      <c r="E34">
        <v>6.0000000000000001E-3</v>
      </c>
      <c r="F34">
        <v>8.0000000000000002E-3</v>
      </c>
      <c r="G34">
        <v>8.0000000000000002E-3</v>
      </c>
      <c r="H34">
        <v>8.0000000000000002E-3</v>
      </c>
      <c r="I34">
        <v>6.0000000000000001E-3</v>
      </c>
      <c r="J34">
        <v>5.3999999999999999E-2</v>
      </c>
      <c r="K34">
        <v>0.65</v>
      </c>
      <c r="L34">
        <v>7.5069999999999997</v>
      </c>
      <c r="M34">
        <v>90.38</v>
      </c>
    </row>
    <row r="35" spans="1:13" x14ac:dyDescent="0.35">
      <c r="A35" t="s">
        <v>46</v>
      </c>
      <c r="B35">
        <v>5.0000000000000001E-3</v>
      </c>
      <c r="C35">
        <v>6.0000000000000001E-3</v>
      </c>
      <c r="D35">
        <v>8.9999999999999993E-3</v>
      </c>
      <c r="E35">
        <v>5.0000000000000001E-3</v>
      </c>
      <c r="F35">
        <v>4.0000000000000001E-3</v>
      </c>
      <c r="G35">
        <v>7.0000000000000001E-3</v>
      </c>
      <c r="H35">
        <v>6.0000000000000001E-3</v>
      </c>
      <c r="I35">
        <v>1.0999999999999999E-2</v>
      </c>
      <c r="J35">
        <v>5.2999999999999999E-2</v>
      </c>
      <c r="K35">
        <v>0.64</v>
      </c>
      <c r="L35">
        <v>7.56</v>
      </c>
      <c r="M35">
        <v>91.02</v>
      </c>
    </row>
    <row r="36" spans="1:13" x14ac:dyDescent="0.35">
      <c r="A36" t="s">
        <v>47</v>
      </c>
      <c r="B36">
        <v>6.0000000000000001E-3</v>
      </c>
      <c r="C36">
        <v>6.0000000000000001E-3</v>
      </c>
      <c r="D36">
        <v>4.0000000000000001E-3</v>
      </c>
      <c r="E36">
        <v>7.0000000000000001E-3</v>
      </c>
      <c r="F36">
        <v>8.0000000000000002E-3</v>
      </c>
      <c r="G36">
        <v>7.0000000000000001E-3</v>
      </c>
      <c r="H36">
        <v>8.0000000000000002E-3</v>
      </c>
      <c r="I36">
        <v>6.0000000000000001E-3</v>
      </c>
      <c r="J36">
        <v>5.0999999999999997E-2</v>
      </c>
      <c r="K36">
        <v>0.62</v>
      </c>
      <c r="L36">
        <v>7.6109999999999998</v>
      </c>
      <c r="M36">
        <v>91.64</v>
      </c>
    </row>
    <row r="37" spans="1:13" x14ac:dyDescent="0.35">
      <c r="A37" t="s">
        <v>48</v>
      </c>
      <c r="B37">
        <v>3.0000000000000001E-3</v>
      </c>
      <c r="C37">
        <v>6.0000000000000001E-3</v>
      </c>
      <c r="D37">
        <v>4.0000000000000001E-3</v>
      </c>
      <c r="E37">
        <v>4.0000000000000001E-3</v>
      </c>
      <c r="F37">
        <v>1.2E-2</v>
      </c>
      <c r="G37">
        <v>6.0000000000000001E-3</v>
      </c>
      <c r="H37">
        <v>5.0000000000000001E-3</v>
      </c>
      <c r="I37">
        <v>4.0000000000000001E-3</v>
      </c>
      <c r="J37">
        <v>4.4999999999999998E-2</v>
      </c>
      <c r="K37">
        <v>0.54</v>
      </c>
      <c r="L37">
        <v>7.6559999999999997</v>
      </c>
      <c r="M37">
        <v>92.18</v>
      </c>
    </row>
    <row r="38" spans="1:13" x14ac:dyDescent="0.35">
      <c r="A38" t="s">
        <v>49</v>
      </c>
      <c r="B38">
        <v>4.0000000000000001E-3</v>
      </c>
      <c r="C38">
        <v>4.0000000000000001E-3</v>
      </c>
      <c r="D38">
        <v>4.0000000000000001E-3</v>
      </c>
      <c r="E38">
        <v>5.0000000000000001E-3</v>
      </c>
      <c r="F38">
        <v>6.0000000000000001E-3</v>
      </c>
      <c r="G38">
        <v>6.0000000000000001E-3</v>
      </c>
      <c r="H38">
        <v>6.0000000000000001E-3</v>
      </c>
      <c r="I38">
        <v>5.0000000000000001E-3</v>
      </c>
      <c r="J38">
        <v>3.9E-2</v>
      </c>
      <c r="K38">
        <v>0.47</v>
      </c>
      <c r="L38">
        <v>7.6959999999999997</v>
      </c>
      <c r="M38">
        <v>92.66</v>
      </c>
    </row>
    <row r="39" spans="1:13" x14ac:dyDescent="0.35">
      <c r="A39" t="s">
        <v>50</v>
      </c>
      <c r="B39">
        <v>4.0000000000000001E-3</v>
      </c>
      <c r="C39">
        <v>5.0000000000000001E-3</v>
      </c>
      <c r="D39">
        <v>6.0000000000000001E-3</v>
      </c>
      <c r="E39">
        <v>5.0000000000000001E-3</v>
      </c>
      <c r="F39">
        <v>4.0000000000000001E-3</v>
      </c>
      <c r="G39">
        <v>6.0000000000000001E-3</v>
      </c>
      <c r="H39">
        <v>4.0000000000000001E-3</v>
      </c>
      <c r="I39">
        <v>4.0000000000000001E-3</v>
      </c>
      <c r="J39">
        <v>3.6999999999999998E-2</v>
      </c>
      <c r="K39">
        <v>0.45</v>
      </c>
      <c r="L39">
        <v>7.7329999999999997</v>
      </c>
      <c r="M39">
        <v>93.11</v>
      </c>
    </row>
    <row r="40" spans="1:13" x14ac:dyDescent="0.35">
      <c r="A40" t="s">
        <v>51</v>
      </c>
      <c r="B40">
        <v>3.0000000000000001E-3</v>
      </c>
      <c r="C40">
        <v>3.0000000000000001E-3</v>
      </c>
      <c r="D40">
        <v>3.0000000000000001E-3</v>
      </c>
      <c r="E40">
        <v>4.0000000000000001E-3</v>
      </c>
      <c r="F40">
        <v>5.0000000000000001E-3</v>
      </c>
      <c r="G40">
        <v>6.0000000000000001E-3</v>
      </c>
      <c r="H40">
        <v>6.0000000000000001E-3</v>
      </c>
      <c r="I40">
        <v>6.0000000000000001E-3</v>
      </c>
      <c r="J40">
        <v>3.5000000000000003E-2</v>
      </c>
      <c r="K40">
        <v>0.42</v>
      </c>
      <c r="L40">
        <v>7.7679999999999998</v>
      </c>
      <c r="M40">
        <v>93.52</v>
      </c>
    </row>
    <row r="41" spans="1:13" x14ac:dyDescent="0.35">
      <c r="A41" t="s">
        <v>52</v>
      </c>
      <c r="B41">
        <v>3.0000000000000001E-3</v>
      </c>
      <c r="C41">
        <v>4.0000000000000001E-3</v>
      </c>
      <c r="D41">
        <v>4.0000000000000001E-3</v>
      </c>
      <c r="E41">
        <v>1E-3</v>
      </c>
      <c r="F41">
        <v>3.0000000000000001E-3</v>
      </c>
      <c r="G41">
        <v>4.0000000000000001E-3</v>
      </c>
      <c r="H41">
        <v>5.0000000000000001E-3</v>
      </c>
      <c r="I41">
        <v>6.0000000000000001E-3</v>
      </c>
      <c r="J41">
        <v>3.1E-2</v>
      </c>
      <c r="K41">
        <v>0.37</v>
      </c>
      <c r="L41">
        <v>7.798</v>
      </c>
      <c r="M41">
        <v>93.89</v>
      </c>
    </row>
    <row r="42" spans="1:13" x14ac:dyDescent="0.35">
      <c r="A42" t="s">
        <v>53</v>
      </c>
      <c r="B42">
        <v>4.0000000000000001E-3</v>
      </c>
      <c r="C42">
        <v>8.0000000000000002E-3</v>
      </c>
      <c r="D42">
        <v>0</v>
      </c>
      <c r="E42">
        <v>8.9999999999999993E-3</v>
      </c>
      <c r="F42">
        <v>2E-3</v>
      </c>
      <c r="G42">
        <v>1E-3</v>
      </c>
      <c r="H42">
        <v>2E-3</v>
      </c>
      <c r="I42">
        <v>3.0000000000000001E-3</v>
      </c>
      <c r="J42">
        <v>0.03</v>
      </c>
      <c r="K42">
        <v>0.37</v>
      </c>
      <c r="L42">
        <v>7.8289999999999997</v>
      </c>
      <c r="M42">
        <v>94.26</v>
      </c>
    </row>
    <row r="43" spans="1:13" x14ac:dyDescent="0.35">
      <c r="A43" t="s">
        <v>54</v>
      </c>
      <c r="B43">
        <v>2E-3</v>
      </c>
      <c r="C43">
        <v>3.0000000000000001E-3</v>
      </c>
      <c r="D43">
        <v>3.0000000000000001E-3</v>
      </c>
      <c r="E43">
        <v>3.0000000000000001E-3</v>
      </c>
      <c r="F43">
        <v>5.0000000000000001E-3</v>
      </c>
      <c r="G43">
        <v>5.0000000000000001E-3</v>
      </c>
      <c r="H43">
        <v>6.0000000000000001E-3</v>
      </c>
      <c r="I43">
        <v>3.0000000000000001E-3</v>
      </c>
      <c r="J43">
        <v>0.03</v>
      </c>
      <c r="K43">
        <v>0.36</v>
      </c>
      <c r="L43">
        <v>7.8579999999999997</v>
      </c>
      <c r="M43">
        <v>94.62</v>
      </c>
    </row>
    <row r="44" spans="1:13" x14ac:dyDescent="0.35">
      <c r="A44" t="s">
        <v>55</v>
      </c>
      <c r="B44">
        <v>3.0000000000000001E-3</v>
      </c>
      <c r="C44">
        <v>4.0000000000000001E-3</v>
      </c>
      <c r="D44">
        <v>5.0000000000000001E-3</v>
      </c>
      <c r="E44">
        <v>5.0000000000000001E-3</v>
      </c>
      <c r="F44">
        <v>3.0000000000000001E-3</v>
      </c>
      <c r="G44">
        <v>4.0000000000000001E-3</v>
      </c>
      <c r="H44">
        <v>4.0000000000000001E-3</v>
      </c>
      <c r="I44">
        <v>1E-3</v>
      </c>
      <c r="J44">
        <v>2.9000000000000001E-2</v>
      </c>
      <c r="K44">
        <v>0.35</v>
      </c>
      <c r="L44">
        <v>7.8879999999999999</v>
      </c>
      <c r="M44">
        <v>94.97</v>
      </c>
    </row>
    <row r="45" spans="1:13" x14ac:dyDescent="0.35">
      <c r="A45" t="s">
        <v>56</v>
      </c>
      <c r="B45">
        <v>1E-3</v>
      </c>
      <c r="C45">
        <v>3.0000000000000001E-3</v>
      </c>
      <c r="D45">
        <v>2E-3</v>
      </c>
      <c r="E45">
        <v>3.0000000000000001E-3</v>
      </c>
      <c r="F45">
        <v>1E-3</v>
      </c>
      <c r="G45">
        <v>8.0000000000000002E-3</v>
      </c>
      <c r="H45">
        <v>2E-3</v>
      </c>
      <c r="I45">
        <v>5.0000000000000001E-3</v>
      </c>
      <c r="J45">
        <v>2.5999999999999999E-2</v>
      </c>
      <c r="K45">
        <v>0.31</v>
      </c>
      <c r="L45">
        <v>7.9130000000000003</v>
      </c>
      <c r="M45">
        <v>95.28</v>
      </c>
    </row>
    <row r="46" spans="1:13" x14ac:dyDescent="0.35">
      <c r="A46" t="s">
        <v>57</v>
      </c>
      <c r="B46">
        <v>1E-3</v>
      </c>
      <c r="C46">
        <v>3.0000000000000001E-3</v>
      </c>
      <c r="D46">
        <v>5.0000000000000001E-3</v>
      </c>
      <c r="E46">
        <v>2E-3</v>
      </c>
      <c r="F46">
        <v>2E-3</v>
      </c>
      <c r="G46">
        <v>5.0000000000000001E-3</v>
      </c>
      <c r="H46">
        <v>3.0000000000000001E-3</v>
      </c>
      <c r="I46">
        <v>5.0000000000000001E-3</v>
      </c>
      <c r="J46">
        <v>2.5000000000000001E-2</v>
      </c>
      <c r="K46">
        <v>0.3</v>
      </c>
      <c r="L46">
        <v>7.9390000000000001</v>
      </c>
      <c r="M46">
        <v>95.58</v>
      </c>
    </row>
    <row r="47" spans="1:13" x14ac:dyDescent="0.35">
      <c r="A47" t="s">
        <v>58</v>
      </c>
      <c r="B47">
        <v>3.0000000000000001E-3</v>
      </c>
      <c r="C47">
        <v>3.0000000000000001E-3</v>
      </c>
      <c r="D47">
        <v>2E-3</v>
      </c>
      <c r="E47">
        <v>3.0000000000000001E-3</v>
      </c>
      <c r="F47">
        <v>3.0000000000000001E-3</v>
      </c>
      <c r="G47">
        <v>4.0000000000000001E-3</v>
      </c>
      <c r="H47">
        <v>3.0000000000000001E-3</v>
      </c>
      <c r="I47">
        <v>3.0000000000000001E-3</v>
      </c>
      <c r="J47">
        <v>2.4E-2</v>
      </c>
      <c r="K47">
        <v>0.28999999999999998</v>
      </c>
      <c r="L47">
        <v>7.9619999999999997</v>
      </c>
      <c r="M47">
        <v>95.87</v>
      </c>
    </row>
    <row r="48" spans="1:13" x14ac:dyDescent="0.35">
      <c r="A48" t="s">
        <v>59</v>
      </c>
      <c r="B48">
        <v>3.0000000000000001E-3</v>
      </c>
      <c r="C48">
        <v>2E-3</v>
      </c>
      <c r="D48">
        <v>3.0000000000000001E-3</v>
      </c>
      <c r="E48">
        <v>2E-3</v>
      </c>
      <c r="F48">
        <v>5.0000000000000001E-3</v>
      </c>
      <c r="G48">
        <v>1E-3</v>
      </c>
      <c r="H48">
        <v>3.0000000000000001E-3</v>
      </c>
      <c r="I48">
        <v>4.0000000000000001E-3</v>
      </c>
      <c r="J48">
        <v>2.3E-2</v>
      </c>
      <c r="K48">
        <v>0.28000000000000003</v>
      </c>
      <c r="L48">
        <v>7.9859999999999998</v>
      </c>
      <c r="M48">
        <v>96.15</v>
      </c>
    </row>
    <row r="49" spans="1:13" x14ac:dyDescent="0.35">
      <c r="A49" t="s">
        <v>60</v>
      </c>
      <c r="B49">
        <v>2E-3</v>
      </c>
      <c r="C49">
        <v>2E-3</v>
      </c>
      <c r="D49">
        <v>3.0000000000000001E-3</v>
      </c>
      <c r="E49">
        <v>3.0000000000000001E-3</v>
      </c>
      <c r="F49">
        <v>2E-3</v>
      </c>
      <c r="G49">
        <v>2E-3</v>
      </c>
      <c r="H49">
        <v>5.0000000000000001E-3</v>
      </c>
      <c r="I49">
        <v>3.0000000000000001E-3</v>
      </c>
      <c r="J49">
        <v>2.1999999999999999E-2</v>
      </c>
      <c r="K49">
        <v>0.26</v>
      </c>
      <c r="L49">
        <v>8.0079999999999991</v>
      </c>
      <c r="M49">
        <v>96.42</v>
      </c>
    </row>
    <row r="50" spans="1:13" x14ac:dyDescent="0.35">
      <c r="A50" t="s">
        <v>61</v>
      </c>
      <c r="B50">
        <v>1E-3</v>
      </c>
      <c r="C50">
        <v>1E-3</v>
      </c>
      <c r="D50">
        <v>3.0000000000000001E-3</v>
      </c>
      <c r="E50">
        <v>2E-3</v>
      </c>
      <c r="F50">
        <v>4.0000000000000001E-3</v>
      </c>
      <c r="G50">
        <v>3.0000000000000001E-3</v>
      </c>
      <c r="H50">
        <v>4.0000000000000001E-3</v>
      </c>
      <c r="I50">
        <v>3.0000000000000001E-3</v>
      </c>
      <c r="J50">
        <v>2.1999999999999999E-2</v>
      </c>
      <c r="K50">
        <v>0.26</v>
      </c>
      <c r="L50">
        <v>8.0289999999999999</v>
      </c>
      <c r="M50">
        <v>96.68</v>
      </c>
    </row>
    <row r="51" spans="1:13" x14ac:dyDescent="0.35">
      <c r="A51" t="s">
        <v>62</v>
      </c>
      <c r="B51">
        <v>2E-3</v>
      </c>
      <c r="C51">
        <v>2E-3</v>
      </c>
      <c r="D51">
        <v>2E-3</v>
      </c>
      <c r="E51">
        <v>2E-3</v>
      </c>
      <c r="F51">
        <v>3.0000000000000001E-3</v>
      </c>
      <c r="G51">
        <v>3.0000000000000001E-3</v>
      </c>
      <c r="H51">
        <v>3.0000000000000001E-3</v>
      </c>
      <c r="I51">
        <v>3.0000000000000001E-3</v>
      </c>
      <c r="J51">
        <v>0.02</v>
      </c>
      <c r="K51">
        <v>0.24</v>
      </c>
      <c r="L51">
        <v>8.0500000000000007</v>
      </c>
      <c r="M51">
        <v>96.92</v>
      </c>
    </row>
    <row r="52" spans="1:13" x14ac:dyDescent="0.35">
      <c r="A52" t="s">
        <v>63</v>
      </c>
      <c r="B52">
        <v>3.0000000000000001E-3</v>
      </c>
      <c r="C52">
        <v>2E-3</v>
      </c>
      <c r="D52">
        <v>2E-3</v>
      </c>
      <c r="E52">
        <v>2E-3</v>
      </c>
      <c r="F52">
        <v>1E-3</v>
      </c>
      <c r="G52">
        <v>3.0000000000000001E-3</v>
      </c>
      <c r="H52">
        <v>3.0000000000000001E-3</v>
      </c>
      <c r="I52">
        <v>3.0000000000000001E-3</v>
      </c>
      <c r="J52">
        <v>0.02</v>
      </c>
      <c r="K52">
        <v>0.24</v>
      </c>
      <c r="L52">
        <v>8.0690000000000008</v>
      </c>
      <c r="M52">
        <v>97.16</v>
      </c>
    </row>
    <row r="53" spans="1:13" x14ac:dyDescent="0.35">
      <c r="A53" t="s">
        <v>64</v>
      </c>
      <c r="B53">
        <v>2E-3</v>
      </c>
      <c r="C53">
        <v>2E-3</v>
      </c>
      <c r="D53">
        <v>2E-3</v>
      </c>
      <c r="E53">
        <v>2E-3</v>
      </c>
      <c r="F53">
        <v>3.0000000000000001E-3</v>
      </c>
      <c r="G53">
        <v>3.0000000000000001E-3</v>
      </c>
      <c r="H53">
        <v>3.0000000000000001E-3</v>
      </c>
      <c r="I53">
        <v>2E-3</v>
      </c>
      <c r="J53">
        <v>1.9E-2</v>
      </c>
      <c r="K53">
        <v>0.23</v>
      </c>
      <c r="L53">
        <v>8.0890000000000004</v>
      </c>
      <c r="M53">
        <v>97.39</v>
      </c>
    </row>
    <row r="54" spans="1:13" x14ac:dyDescent="0.35">
      <c r="A54" t="s">
        <v>65</v>
      </c>
      <c r="B54">
        <v>3.0000000000000001E-3</v>
      </c>
      <c r="C54">
        <v>3.0000000000000001E-3</v>
      </c>
      <c r="D54">
        <v>3.0000000000000001E-3</v>
      </c>
      <c r="E54">
        <v>2E-3</v>
      </c>
      <c r="F54">
        <v>2E-3</v>
      </c>
      <c r="G54">
        <v>2E-3</v>
      </c>
      <c r="H54">
        <v>2E-3</v>
      </c>
      <c r="I54">
        <v>1E-3</v>
      </c>
      <c r="J54">
        <v>1.7000000000000001E-2</v>
      </c>
      <c r="K54">
        <v>0.21</v>
      </c>
      <c r="L54">
        <v>8.1059999999999999</v>
      </c>
      <c r="M54">
        <v>97.6</v>
      </c>
    </row>
    <row r="55" spans="1:13" x14ac:dyDescent="0.35">
      <c r="A55" t="s">
        <v>66</v>
      </c>
      <c r="B55">
        <v>2E-3</v>
      </c>
      <c r="C55">
        <v>2E-3</v>
      </c>
      <c r="D55">
        <v>2E-3</v>
      </c>
      <c r="E55">
        <v>1E-3</v>
      </c>
      <c r="F55">
        <v>3.0000000000000001E-3</v>
      </c>
      <c r="G55">
        <v>2E-3</v>
      </c>
      <c r="H55">
        <v>2E-3</v>
      </c>
      <c r="I55">
        <v>2E-3</v>
      </c>
      <c r="J55">
        <v>1.6E-2</v>
      </c>
      <c r="K55">
        <v>0.2</v>
      </c>
      <c r="L55">
        <v>8.1219999999999999</v>
      </c>
      <c r="M55">
        <v>97.8</v>
      </c>
    </row>
    <row r="56" spans="1:13" x14ac:dyDescent="0.35">
      <c r="A56" t="s">
        <v>67</v>
      </c>
      <c r="B56">
        <v>2E-3</v>
      </c>
      <c r="C56">
        <v>2E-3</v>
      </c>
      <c r="D56">
        <v>2E-3</v>
      </c>
      <c r="E56">
        <v>2E-3</v>
      </c>
      <c r="F56">
        <v>2E-3</v>
      </c>
      <c r="G56">
        <v>3.0000000000000001E-3</v>
      </c>
      <c r="H56">
        <v>3.0000000000000001E-3</v>
      </c>
      <c r="I56">
        <v>1E-3</v>
      </c>
      <c r="J56">
        <v>1.6E-2</v>
      </c>
      <c r="K56">
        <v>0.19</v>
      </c>
      <c r="L56">
        <v>8.1379999999999999</v>
      </c>
      <c r="M56">
        <v>97.98</v>
      </c>
    </row>
    <row r="57" spans="1:13" x14ac:dyDescent="0.35">
      <c r="A57" t="s">
        <v>68</v>
      </c>
      <c r="B57">
        <v>0</v>
      </c>
      <c r="C57">
        <v>1E-3</v>
      </c>
      <c r="D57">
        <v>1E-3</v>
      </c>
      <c r="E57">
        <v>1E-3</v>
      </c>
      <c r="F57">
        <v>4.0000000000000001E-3</v>
      </c>
      <c r="G57">
        <v>1E-3</v>
      </c>
      <c r="H57">
        <v>0</v>
      </c>
      <c r="I57">
        <v>7.0000000000000001E-3</v>
      </c>
      <c r="J57">
        <v>1.6E-2</v>
      </c>
      <c r="K57">
        <v>0.19</v>
      </c>
      <c r="L57">
        <v>8.1539999999999999</v>
      </c>
      <c r="M57">
        <v>98.17</v>
      </c>
    </row>
    <row r="58" spans="1:13" x14ac:dyDescent="0.35">
      <c r="A58" t="s">
        <v>69</v>
      </c>
      <c r="B58">
        <v>0</v>
      </c>
      <c r="C58">
        <v>2E-3</v>
      </c>
      <c r="D58">
        <v>3.0000000000000001E-3</v>
      </c>
      <c r="E58">
        <v>0</v>
      </c>
      <c r="F58">
        <v>0</v>
      </c>
      <c r="G58">
        <v>3.0000000000000001E-3</v>
      </c>
      <c r="H58">
        <v>3.0000000000000001E-3</v>
      </c>
      <c r="I58">
        <v>3.0000000000000001E-3</v>
      </c>
      <c r="J58">
        <v>1.4999999999999999E-2</v>
      </c>
      <c r="K58">
        <v>0.18</v>
      </c>
      <c r="L58">
        <v>8.1690000000000005</v>
      </c>
      <c r="M58">
        <v>98.36</v>
      </c>
    </row>
    <row r="59" spans="1:13" x14ac:dyDescent="0.35">
      <c r="A59" t="s">
        <v>70</v>
      </c>
      <c r="B59">
        <v>1E-3</v>
      </c>
      <c r="C59">
        <v>1E-3</v>
      </c>
      <c r="D59">
        <v>2E-3</v>
      </c>
      <c r="E59">
        <v>2E-3</v>
      </c>
      <c r="F59">
        <v>2E-3</v>
      </c>
      <c r="G59">
        <v>2E-3</v>
      </c>
      <c r="H59">
        <v>2E-3</v>
      </c>
      <c r="I59">
        <v>2E-3</v>
      </c>
      <c r="J59">
        <v>1.4E-2</v>
      </c>
      <c r="K59">
        <v>0.17</v>
      </c>
      <c r="L59">
        <v>8.1829999999999998</v>
      </c>
      <c r="M59">
        <v>98.52</v>
      </c>
    </row>
    <row r="60" spans="1:13" x14ac:dyDescent="0.35">
      <c r="A60" t="s">
        <v>71</v>
      </c>
      <c r="B60">
        <v>2E-3</v>
      </c>
      <c r="C60">
        <v>2E-3</v>
      </c>
      <c r="D60">
        <v>2E-3</v>
      </c>
      <c r="E60">
        <v>2E-3</v>
      </c>
      <c r="F60">
        <v>2E-3</v>
      </c>
      <c r="G60">
        <v>2E-3</v>
      </c>
      <c r="H60">
        <v>2E-3</v>
      </c>
      <c r="I60">
        <v>1E-3</v>
      </c>
      <c r="J60">
        <v>1.4E-2</v>
      </c>
      <c r="K60">
        <v>0.17</v>
      </c>
      <c r="L60">
        <v>8.1969999999999992</v>
      </c>
      <c r="M60">
        <v>98.69</v>
      </c>
    </row>
    <row r="61" spans="1:13" x14ac:dyDescent="0.35">
      <c r="A61" t="s">
        <v>72</v>
      </c>
      <c r="B61">
        <v>1E-3</v>
      </c>
      <c r="C61">
        <v>1E-3</v>
      </c>
      <c r="D61">
        <v>1E-3</v>
      </c>
      <c r="E61">
        <v>2E-3</v>
      </c>
      <c r="F61">
        <v>3.0000000000000001E-3</v>
      </c>
      <c r="G61">
        <v>3.0000000000000001E-3</v>
      </c>
      <c r="H61">
        <v>0</v>
      </c>
      <c r="I61">
        <v>2E-3</v>
      </c>
      <c r="J61">
        <v>1.4E-2</v>
      </c>
      <c r="K61">
        <v>0.16</v>
      </c>
      <c r="L61">
        <v>8.2110000000000003</v>
      </c>
      <c r="M61">
        <v>98.86</v>
      </c>
    </row>
    <row r="62" spans="1:13" x14ac:dyDescent="0.35">
      <c r="A62" t="s">
        <v>73</v>
      </c>
      <c r="B62">
        <v>1E-3</v>
      </c>
      <c r="C62">
        <v>2E-3</v>
      </c>
      <c r="D62">
        <v>3.0000000000000001E-3</v>
      </c>
      <c r="E62">
        <v>2E-3</v>
      </c>
      <c r="F62">
        <v>2E-3</v>
      </c>
      <c r="G62">
        <v>2E-3</v>
      </c>
      <c r="H62">
        <v>1E-3</v>
      </c>
      <c r="I62">
        <v>1E-3</v>
      </c>
      <c r="J62">
        <v>1.2999999999999999E-2</v>
      </c>
      <c r="K62">
        <v>0.16</v>
      </c>
      <c r="L62">
        <v>8.2240000000000002</v>
      </c>
      <c r="M62">
        <v>99.02</v>
      </c>
    </row>
    <row r="63" spans="1:13" x14ac:dyDescent="0.35">
      <c r="A63" t="s">
        <v>74</v>
      </c>
      <c r="B63">
        <v>1E-3</v>
      </c>
      <c r="C63">
        <v>1E-3</v>
      </c>
      <c r="D63">
        <v>1E-3</v>
      </c>
      <c r="E63">
        <v>2E-3</v>
      </c>
      <c r="F63">
        <v>2E-3</v>
      </c>
      <c r="G63">
        <v>2E-3</v>
      </c>
      <c r="H63">
        <v>2E-3</v>
      </c>
      <c r="I63">
        <v>1E-3</v>
      </c>
      <c r="J63">
        <v>1.2E-2</v>
      </c>
      <c r="K63">
        <v>0.14000000000000001</v>
      </c>
      <c r="L63">
        <v>8.2360000000000007</v>
      </c>
      <c r="M63">
        <v>99.16</v>
      </c>
    </row>
    <row r="64" spans="1:13" x14ac:dyDescent="0.35">
      <c r="A64" t="s">
        <v>75</v>
      </c>
      <c r="B64">
        <v>1E-3</v>
      </c>
      <c r="C64">
        <v>1E-3</v>
      </c>
      <c r="D64">
        <v>1E-3</v>
      </c>
      <c r="E64">
        <v>1E-3</v>
      </c>
      <c r="F64">
        <v>2E-3</v>
      </c>
      <c r="G64">
        <v>2E-3</v>
      </c>
      <c r="H64">
        <v>2E-3</v>
      </c>
      <c r="I64">
        <v>2E-3</v>
      </c>
      <c r="J64">
        <v>1.2E-2</v>
      </c>
      <c r="K64">
        <v>0.14000000000000001</v>
      </c>
      <c r="L64">
        <v>8.2479999999999993</v>
      </c>
      <c r="M64">
        <v>99.3</v>
      </c>
    </row>
    <row r="65" spans="1:13" x14ac:dyDescent="0.35">
      <c r="A65" t="s">
        <v>76</v>
      </c>
      <c r="B65">
        <v>1E-3</v>
      </c>
      <c r="C65">
        <v>1E-3</v>
      </c>
      <c r="D65">
        <v>1E-3</v>
      </c>
      <c r="E65">
        <v>1E-3</v>
      </c>
      <c r="F65">
        <v>1E-3</v>
      </c>
      <c r="G65">
        <v>1E-3</v>
      </c>
      <c r="H65">
        <v>1E-3</v>
      </c>
      <c r="I65">
        <v>1E-3</v>
      </c>
      <c r="J65">
        <v>1.0999999999999999E-2</v>
      </c>
      <c r="K65">
        <v>0.13</v>
      </c>
      <c r="L65">
        <v>8.2579999999999991</v>
      </c>
      <c r="M65">
        <v>99.43</v>
      </c>
    </row>
    <row r="66" spans="1:13" x14ac:dyDescent="0.35">
      <c r="A66" t="s">
        <v>77</v>
      </c>
      <c r="B66">
        <v>1E-3</v>
      </c>
      <c r="C66">
        <v>1E-3</v>
      </c>
      <c r="D66">
        <v>1E-3</v>
      </c>
      <c r="E66">
        <v>1E-3</v>
      </c>
      <c r="F66">
        <v>1E-3</v>
      </c>
      <c r="G66">
        <v>1E-3</v>
      </c>
      <c r="H66">
        <v>2E-3</v>
      </c>
      <c r="I66">
        <v>3.0000000000000001E-3</v>
      </c>
      <c r="J66">
        <v>0.01</v>
      </c>
      <c r="K66">
        <v>0.12</v>
      </c>
      <c r="L66">
        <v>8.2680000000000007</v>
      </c>
      <c r="M66">
        <v>99.55</v>
      </c>
    </row>
    <row r="67" spans="1:13" x14ac:dyDescent="0.35">
      <c r="A67" t="s">
        <v>78</v>
      </c>
      <c r="B67">
        <v>1E-3</v>
      </c>
      <c r="C67">
        <v>0</v>
      </c>
      <c r="D67">
        <v>0</v>
      </c>
      <c r="E67">
        <v>0</v>
      </c>
      <c r="F67">
        <v>2E-3</v>
      </c>
      <c r="G67">
        <v>1E-3</v>
      </c>
      <c r="H67">
        <v>1E-3</v>
      </c>
      <c r="I67">
        <v>1E-3</v>
      </c>
      <c r="J67">
        <v>6.0000000000000001E-3</v>
      </c>
      <c r="K67">
        <v>7.0000000000000007E-2</v>
      </c>
      <c r="L67">
        <v>8.2739999999999991</v>
      </c>
      <c r="M67">
        <v>99.62</v>
      </c>
    </row>
    <row r="68" spans="1:13" x14ac:dyDescent="0.35">
      <c r="A68" t="s">
        <v>79</v>
      </c>
      <c r="B68">
        <v>0</v>
      </c>
      <c r="C68">
        <v>0</v>
      </c>
      <c r="D68">
        <v>0</v>
      </c>
      <c r="E68">
        <v>3.0000000000000001E-3</v>
      </c>
      <c r="F68">
        <v>0</v>
      </c>
      <c r="G68">
        <v>3.0000000000000001E-3</v>
      </c>
      <c r="H68">
        <v>0</v>
      </c>
      <c r="I68">
        <v>0</v>
      </c>
      <c r="J68">
        <v>6.0000000000000001E-3</v>
      </c>
      <c r="K68">
        <v>7.0000000000000007E-2</v>
      </c>
      <c r="L68">
        <v>8.2799999999999994</v>
      </c>
      <c r="M68">
        <v>99.69</v>
      </c>
    </row>
    <row r="69" spans="1:13" x14ac:dyDescent="0.35">
      <c r="A69" t="s">
        <v>80</v>
      </c>
      <c r="B69">
        <v>1E-3</v>
      </c>
      <c r="C69">
        <v>1E-3</v>
      </c>
      <c r="D69">
        <v>1E-3</v>
      </c>
      <c r="E69">
        <v>1E-3</v>
      </c>
      <c r="F69">
        <v>1E-3</v>
      </c>
      <c r="G69">
        <v>1E-3</v>
      </c>
      <c r="H69">
        <v>1E-3</v>
      </c>
      <c r="I69">
        <v>1E-3</v>
      </c>
      <c r="J69">
        <v>6.0000000000000001E-3</v>
      </c>
      <c r="K69">
        <v>7.0000000000000007E-2</v>
      </c>
      <c r="L69">
        <v>8.2859999999999996</v>
      </c>
      <c r="M69">
        <v>99.76</v>
      </c>
    </row>
    <row r="70" spans="1:13" x14ac:dyDescent="0.35">
      <c r="A70" t="s">
        <v>81</v>
      </c>
      <c r="B70">
        <v>1E-3</v>
      </c>
      <c r="C70">
        <v>0</v>
      </c>
      <c r="D70">
        <v>0</v>
      </c>
      <c r="E70">
        <v>0</v>
      </c>
      <c r="F70">
        <v>0</v>
      </c>
      <c r="G70">
        <v>1E-3</v>
      </c>
      <c r="H70">
        <v>1E-3</v>
      </c>
      <c r="I70">
        <v>1E-3</v>
      </c>
      <c r="J70">
        <v>5.0000000000000001E-3</v>
      </c>
      <c r="K70">
        <v>0.06</v>
      </c>
      <c r="L70">
        <v>8.2899999999999991</v>
      </c>
      <c r="M70">
        <v>99.82</v>
      </c>
    </row>
    <row r="71" spans="1:13" x14ac:dyDescent="0.35">
      <c r="A71" t="s">
        <v>82</v>
      </c>
      <c r="B71">
        <v>0</v>
      </c>
      <c r="C71">
        <v>0</v>
      </c>
      <c r="D71">
        <v>0</v>
      </c>
      <c r="E71">
        <v>0</v>
      </c>
      <c r="F71">
        <v>1E-3</v>
      </c>
      <c r="G71">
        <v>0</v>
      </c>
      <c r="H71">
        <v>0</v>
      </c>
      <c r="I71">
        <v>0</v>
      </c>
      <c r="J71">
        <v>3.0000000000000001E-3</v>
      </c>
      <c r="K71">
        <v>0.04</v>
      </c>
      <c r="L71">
        <v>8.2929999999999993</v>
      </c>
      <c r="M71">
        <v>99.85</v>
      </c>
    </row>
    <row r="72" spans="1:13" x14ac:dyDescent="0.35">
      <c r="A72" t="s">
        <v>83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1E-3</v>
      </c>
      <c r="I72">
        <v>0</v>
      </c>
      <c r="J72">
        <v>2E-3</v>
      </c>
      <c r="K72">
        <v>0.02</v>
      </c>
      <c r="L72">
        <v>8.2949999999999999</v>
      </c>
      <c r="M72">
        <v>99.88</v>
      </c>
    </row>
    <row r="73" spans="1:13" x14ac:dyDescent="0.35">
      <c r="A73" t="s">
        <v>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2E-3</v>
      </c>
      <c r="K73">
        <v>0.02</v>
      </c>
      <c r="L73">
        <v>8.2970000000000006</v>
      </c>
      <c r="M73">
        <v>99.9</v>
      </c>
    </row>
    <row r="74" spans="1:13" x14ac:dyDescent="0.35">
      <c r="A74" t="s">
        <v>85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2E-3</v>
      </c>
      <c r="K74">
        <v>0.02</v>
      </c>
      <c r="L74">
        <v>8.2989999999999995</v>
      </c>
      <c r="M74">
        <v>99.92</v>
      </c>
    </row>
    <row r="75" spans="1:13" x14ac:dyDescent="0.35">
      <c r="A75" t="s">
        <v>86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2E-3</v>
      </c>
      <c r="K75">
        <v>0.02</v>
      </c>
      <c r="L75">
        <v>8.3000000000000007</v>
      </c>
      <c r="M75">
        <v>99.94</v>
      </c>
    </row>
    <row r="76" spans="1:13" x14ac:dyDescent="0.35">
      <c r="A76" t="s">
        <v>87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1E-3</v>
      </c>
      <c r="K76">
        <v>0.02</v>
      </c>
      <c r="L76">
        <v>8.3019999999999996</v>
      </c>
      <c r="M76">
        <v>99.95</v>
      </c>
    </row>
    <row r="77" spans="1:13" x14ac:dyDescent="0.35">
      <c r="A77" t="s">
        <v>88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1E-3</v>
      </c>
      <c r="K77">
        <v>0.01</v>
      </c>
      <c r="L77">
        <v>8.3030000000000008</v>
      </c>
      <c r="M77">
        <v>99.96</v>
      </c>
    </row>
    <row r="78" spans="1:13" x14ac:dyDescent="0.35">
      <c r="A78" t="s">
        <v>89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1E-3</v>
      </c>
      <c r="K78">
        <v>0.01</v>
      </c>
      <c r="L78">
        <v>8.3030000000000008</v>
      </c>
      <c r="M78">
        <v>99.97</v>
      </c>
    </row>
    <row r="79" spans="1:13" x14ac:dyDescent="0.35">
      <c r="A79" t="s">
        <v>90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1E-3</v>
      </c>
      <c r="K79">
        <v>0.01</v>
      </c>
      <c r="L79">
        <v>8.3040000000000003</v>
      </c>
      <c r="M79">
        <v>99.98</v>
      </c>
    </row>
    <row r="80" spans="1:13" x14ac:dyDescent="0.35">
      <c r="A80" t="s">
        <v>91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0.01</v>
      </c>
      <c r="L80">
        <v>8.3040000000000003</v>
      </c>
      <c r="M80">
        <v>99.99</v>
      </c>
    </row>
    <row r="81" spans="1:13" x14ac:dyDescent="0.35">
      <c r="A81" t="s">
        <v>92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8.3049999999999997</v>
      </c>
      <c r="M81">
        <v>99.99</v>
      </c>
    </row>
    <row r="82" spans="1:13" x14ac:dyDescent="0.35">
      <c r="A82" t="s">
        <v>93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8.3049999999999997</v>
      </c>
      <c r="M82">
        <v>99.99</v>
      </c>
    </row>
    <row r="83" spans="1:13" x14ac:dyDescent="0.35">
      <c r="A83" t="s">
        <v>94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8.3049999999999997</v>
      </c>
      <c r="M83">
        <v>100</v>
      </c>
    </row>
    <row r="84" spans="1:13" x14ac:dyDescent="0.35">
      <c r="A84" t="s">
        <v>95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8.3049999999999997</v>
      </c>
      <c r="M84">
        <v>100</v>
      </c>
    </row>
    <row r="85" spans="1:13" x14ac:dyDescent="0.35">
      <c r="A85" t="s">
        <v>96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8.3049999999999997</v>
      </c>
      <c r="M85">
        <v>100</v>
      </c>
    </row>
    <row r="86" spans="1:13" x14ac:dyDescent="0.35">
      <c r="A86" t="s">
        <v>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8.3059999999999992</v>
      </c>
      <c r="M86">
        <v>100</v>
      </c>
    </row>
    <row r="87" spans="1:13" x14ac:dyDescent="0.35">
      <c r="A87" t="s">
        <v>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8.3059999999999992</v>
      </c>
      <c r="M87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7"/>
  <sheetViews>
    <sheetView topLeftCell="A51" workbookViewId="0">
      <selection activeCell="J2" sqref="J2:J87"/>
    </sheetView>
  </sheetViews>
  <sheetFormatPr defaultRowHeight="14.5" x14ac:dyDescent="0.35"/>
  <sheetData>
    <row r="1" spans="1:13" x14ac:dyDescent="0.35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</v>
      </c>
      <c r="L1" s="1" t="s">
        <v>108</v>
      </c>
      <c r="M1" s="1" t="s">
        <v>12</v>
      </c>
    </row>
    <row r="2" spans="1:13" x14ac:dyDescent="0.35">
      <c r="A2" t="s">
        <v>13</v>
      </c>
      <c r="B2">
        <v>1.8959999999999999</v>
      </c>
      <c r="C2">
        <v>1.978</v>
      </c>
      <c r="D2">
        <v>2.0459999999999998</v>
      </c>
      <c r="E2">
        <v>2.2400000000000002</v>
      </c>
      <c r="F2">
        <v>2.58</v>
      </c>
      <c r="G2">
        <v>2.8090000000000002</v>
      </c>
      <c r="H2">
        <v>2.83</v>
      </c>
      <c r="I2">
        <v>2.4870000000000001</v>
      </c>
      <c r="J2">
        <v>18.864000000000001</v>
      </c>
      <c r="K2">
        <v>13.59</v>
      </c>
      <c r="L2">
        <v>18.864000000000001</v>
      </c>
      <c r="M2">
        <v>13.59</v>
      </c>
    </row>
    <row r="3" spans="1:13" x14ac:dyDescent="0.35">
      <c r="A3" t="s">
        <v>14</v>
      </c>
      <c r="B3">
        <v>1.1919999999999999</v>
      </c>
      <c r="C3">
        <v>1.014</v>
      </c>
      <c r="D3">
        <v>0.94299999999999995</v>
      </c>
      <c r="E3">
        <v>1.1879999999999999</v>
      </c>
      <c r="F3">
        <v>1.44</v>
      </c>
      <c r="G3">
        <v>1.637</v>
      </c>
      <c r="H3">
        <v>1.7330000000000001</v>
      </c>
      <c r="I3">
        <v>1.5920000000000001</v>
      </c>
      <c r="J3">
        <v>10.739000000000001</v>
      </c>
      <c r="K3">
        <v>7.74</v>
      </c>
      <c r="L3">
        <v>29.603999999999999</v>
      </c>
      <c r="M3">
        <v>21.32</v>
      </c>
    </row>
    <row r="4" spans="1:13" x14ac:dyDescent="0.35">
      <c r="A4" t="s">
        <v>15</v>
      </c>
      <c r="B4">
        <v>0.192</v>
      </c>
      <c r="C4">
        <v>0.20399999999999999</v>
      </c>
      <c r="D4">
        <v>0.29599999999999999</v>
      </c>
      <c r="E4">
        <v>0.33700000000000002</v>
      </c>
      <c r="F4">
        <v>0.47799999999999998</v>
      </c>
      <c r="G4">
        <v>0.44900000000000001</v>
      </c>
      <c r="H4">
        <v>0.43</v>
      </c>
      <c r="I4">
        <v>0.54600000000000004</v>
      </c>
      <c r="J4">
        <v>2.9319999999999999</v>
      </c>
      <c r="K4">
        <v>2.11</v>
      </c>
      <c r="L4">
        <v>32.536000000000001</v>
      </c>
      <c r="M4">
        <v>23.44</v>
      </c>
    </row>
    <row r="5" spans="1:13" x14ac:dyDescent="0.35">
      <c r="A5" t="s">
        <v>16</v>
      </c>
      <c r="B5">
        <v>0.94699999999999995</v>
      </c>
      <c r="C5">
        <v>1.0149999999999999</v>
      </c>
      <c r="D5">
        <v>1.0349999999999999</v>
      </c>
      <c r="E5">
        <v>1.2410000000000001</v>
      </c>
      <c r="F5">
        <v>1.4219999999999999</v>
      </c>
      <c r="G5">
        <v>1.528</v>
      </c>
      <c r="H5">
        <v>1.548</v>
      </c>
      <c r="I5">
        <v>1.377</v>
      </c>
      <c r="J5">
        <v>10.113</v>
      </c>
      <c r="K5">
        <v>7.28</v>
      </c>
      <c r="L5">
        <v>42.649000000000001</v>
      </c>
      <c r="M5">
        <v>30.72</v>
      </c>
    </row>
    <row r="6" spans="1:13" x14ac:dyDescent="0.35">
      <c r="A6" t="s">
        <v>17</v>
      </c>
      <c r="B6">
        <v>0.92700000000000005</v>
      </c>
      <c r="C6">
        <v>0.88600000000000001</v>
      </c>
      <c r="D6">
        <v>0.97299999999999998</v>
      </c>
      <c r="E6">
        <v>0.78500000000000003</v>
      </c>
      <c r="F6">
        <v>0.93400000000000005</v>
      </c>
      <c r="G6">
        <v>1.0409999999999999</v>
      </c>
      <c r="H6">
        <v>1.2010000000000001</v>
      </c>
      <c r="I6">
        <v>1.139</v>
      </c>
      <c r="J6">
        <v>7.8869999999999996</v>
      </c>
      <c r="K6">
        <v>5.68</v>
      </c>
      <c r="L6">
        <v>50.536000000000001</v>
      </c>
      <c r="M6">
        <v>36.4</v>
      </c>
    </row>
    <row r="7" spans="1:13" x14ac:dyDescent="0.35">
      <c r="A7" t="s">
        <v>18</v>
      </c>
      <c r="B7">
        <v>7.6999999999999999E-2</v>
      </c>
      <c r="C7">
        <v>9.0999999999999998E-2</v>
      </c>
      <c r="D7">
        <v>0.03</v>
      </c>
      <c r="E7">
        <v>5.5E-2</v>
      </c>
      <c r="F7">
        <v>0.11899999999999999</v>
      </c>
      <c r="G7">
        <v>0.14499999999999999</v>
      </c>
      <c r="H7">
        <v>5.0999999999999997E-2</v>
      </c>
      <c r="I7">
        <v>0.106</v>
      </c>
      <c r="J7">
        <v>0.67500000000000004</v>
      </c>
      <c r="K7">
        <v>0.49</v>
      </c>
      <c r="L7">
        <v>51.210999999999999</v>
      </c>
      <c r="M7">
        <v>36.89</v>
      </c>
    </row>
    <row r="8" spans="1:13" x14ac:dyDescent="0.35">
      <c r="A8" t="s">
        <v>19</v>
      </c>
      <c r="B8">
        <v>0.502</v>
      </c>
      <c r="C8">
        <v>0.53600000000000003</v>
      </c>
      <c r="D8">
        <v>0.53800000000000003</v>
      </c>
      <c r="E8">
        <v>0.6</v>
      </c>
      <c r="F8">
        <v>0.63700000000000001</v>
      </c>
      <c r="G8">
        <v>0.64100000000000001</v>
      </c>
      <c r="H8">
        <v>0.63</v>
      </c>
      <c r="I8">
        <v>0.57099999999999995</v>
      </c>
      <c r="J8">
        <v>4.6559999999999997</v>
      </c>
      <c r="K8">
        <v>3.35</v>
      </c>
      <c r="L8">
        <v>55.866999999999997</v>
      </c>
      <c r="M8">
        <v>40.24</v>
      </c>
    </row>
    <row r="9" spans="1:13" x14ac:dyDescent="0.35">
      <c r="A9" t="s">
        <v>20</v>
      </c>
      <c r="B9">
        <v>0.751</v>
      </c>
      <c r="C9">
        <v>0.84399999999999997</v>
      </c>
      <c r="D9">
        <v>0.88200000000000001</v>
      </c>
      <c r="E9">
        <v>0.97799999999999998</v>
      </c>
      <c r="F9">
        <v>1.0609999999999999</v>
      </c>
      <c r="G9">
        <v>1.1000000000000001</v>
      </c>
      <c r="H9">
        <v>1.1579999999999999</v>
      </c>
      <c r="I9">
        <v>0.92800000000000005</v>
      </c>
      <c r="J9">
        <v>7.7009999999999996</v>
      </c>
      <c r="K9">
        <v>5.55</v>
      </c>
      <c r="L9">
        <v>63.567999999999998</v>
      </c>
      <c r="M9">
        <v>45.79</v>
      </c>
    </row>
    <row r="10" spans="1:13" x14ac:dyDescent="0.35">
      <c r="A10" t="s">
        <v>21</v>
      </c>
      <c r="B10">
        <v>7.0000000000000007E-2</v>
      </c>
      <c r="C10">
        <v>3.6999999999999998E-2</v>
      </c>
      <c r="D10">
        <v>0.09</v>
      </c>
      <c r="E10">
        <v>8.1000000000000003E-2</v>
      </c>
      <c r="F10">
        <v>5.1999999999999998E-2</v>
      </c>
      <c r="G10">
        <v>3.5000000000000003E-2</v>
      </c>
      <c r="H10">
        <v>0.154</v>
      </c>
      <c r="I10">
        <v>6.9000000000000006E-2</v>
      </c>
      <c r="J10">
        <v>0.58699999999999997</v>
      </c>
      <c r="K10">
        <v>0.42</v>
      </c>
      <c r="L10">
        <v>64.155000000000001</v>
      </c>
      <c r="M10">
        <v>46.21</v>
      </c>
    </row>
    <row r="11" spans="1:13" x14ac:dyDescent="0.35">
      <c r="A11" t="s">
        <v>22</v>
      </c>
      <c r="B11">
        <v>0.54900000000000004</v>
      </c>
      <c r="C11">
        <v>0.57099999999999995</v>
      </c>
      <c r="D11">
        <v>0.58899999999999997</v>
      </c>
      <c r="E11">
        <v>0.63600000000000001</v>
      </c>
      <c r="F11">
        <v>0.73299999999999998</v>
      </c>
      <c r="G11">
        <v>0.82399999999999995</v>
      </c>
      <c r="H11">
        <v>0.86599999999999999</v>
      </c>
      <c r="I11">
        <v>0.75700000000000001</v>
      </c>
      <c r="J11">
        <v>5.5259999999999998</v>
      </c>
      <c r="K11">
        <v>3.98</v>
      </c>
      <c r="L11">
        <v>69.680999999999997</v>
      </c>
      <c r="M11">
        <v>50.19</v>
      </c>
    </row>
    <row r="12" spans="1:13" x14ac:dyDescent="0.35">
      <c r="A12" t="s">
        <v>23</v>
      </c>
      <c r="B12">
        <v>0.39600000000000002</v>
      </c>
      <c r="C12">
        <v>0.40300000000000002</v>
      </c>
      <c r="D12">
        <v>0.39800000000000002</v>
      </c>
      <c r="E12">
        <v>0.436</v>
      </c>
      <c r="F12">
        <v>0.55100000000000005</v>
      </c>
      <c r="G12">
        <v>0.65300000000000002</v>
      </c>
      <c r="H12">
        <v>0.66600000000000004</v>
      </c>
      <c r="I12">
        <v>0.54300000000000004</v>
      </c>
      <c r="J12">
        <v>4.0460000000000003</v>
      </c>
      <c r="K12">
        <v>2.91</v>
      </c>
      <c r="L12">
        <v>73.727000000000004</v>
      </c>
      <c r="M12">
        <v>53.11</v>
      </c>
    </row>
    <row r="13" spans="1:13" x14ac:dyDescent="0.35">
      <c r="A13" t="s">
        <v>24</v>
      </c>
      <c r="B13">
        <v>0.29899999999999999</v>
      </c>
      <c r="C13">
        <v>0.31900000000000001</v>
      </c>
      <c r="D13">
        <v>0.32200000000000001</v>
      </c>
      <c r="E13">
        <v>0.35899999999999999</v>
      </c>
      <c r="F13">
        <v>0.39700000000000002</v>
      </c>
      <c r="G13">
        <v>0.43</v>
      </c>
      <c r="H13">
        <v>0.42099999999999999</v>
      </c>
      <c r="I13">
        <v>0.36</v>
      </c>
      <c r="J13">
        <v>2.907</v>
      </c>
      <c r="K13">
        <v>2.09</v>
      </c>
      <c r="L13">
        <v>76.632999999999996</v>
      </c>
      <c r="M13">
        <v>55.2</v>
      </c>
    </row>
    <row r="14" spans="1:13" x14ac:dyDescent="0.35">
      <c r="A14" t="s">
        <v>25</v>
      </c>
      <c r="B14">
        <v>0.47</v>
      </c>
      <c r="C14">
        <v>0.377</v>
      </c>
      <c r="D14">
        <v>0.43099999999999999</v>
      </c>
      <c r="E14">
        <v>0.45200000000000001</v>
      </c>
      <c r="F14">
        <v>0.57899999999999996</v>
      </c>
      <c r="G14">
        <v>0.55400000000000005</v>
      </c>
      <c r="H14">
        <v>0.56899999999999995</v>
      </c>
      <c r="I14">
        <v>0.44900000000000001</v>
      </c>
      <c r="J14">
        <v>3.8809999999999998</v>
      </c>
      <c r="K14">
        <v>2.8</v>
      </c>
      <c r="L14">
        <v>80.513999999999996</v>
      </c>
      <c r="M14">
        <v>58</v>
      </c>
    </row>
    <row r="15" spans="1:13" x14ac:dyDescent="0.35">
      <c r="A15" t="s">
        <v>26</v>
      </c>
      <c r="B15">
        <v>0.40500000000000003</v>
      </c>
      <c r="C15">
        <v>0.41699999999999998</v>
      </c>
      <c r="D15">
        <v>0.41599999999999998</v>
      </c>
      <c r="E15">
        <v>0.435</v>
      </c>
      <c r="F15">
        <v>0.50600000000000001</v>
      </c>
      <c r="G15">
        <v>0.55200000000000005</v>
      </c>
      <c r="H15">
        <v>0.54400000000000004</v>
      </c>
      <c r="I15">
        <v>0.48</v>
      </c>
      <c r="J15">
        <v>3.7559999999999998</v>
      </c>
      <c r="K15">
        <v>2.71</v>
      </c>
      <c r="L15">
        <v>84.27</v>
      </c>
      <c r="M15">
        <v>60.7</v>
      </c>
    </row>
    <row r="16" spans="1:13" x14ac:dyDescent="0.35">
      <c r="A16" t="s">
        <v>27</v>
      </c>
      <c r="B16">
        <v>0.42099999999999999</v>
      </c>
      <c r="C16">
        <v>0.40699999999999997</v>
      </c>
      <c r="D16">
        <v>0.38</v>
      </c>
      <c r="E16">
        <v>0.39300000000000002</v>
      </c>
      <c r="F16">
        <v>0.442</v>
      </c>
      <c r="G16">
        <v>0.51100000000000001</v>
      </c>
      <c r="H16">
        <v>0.49399999999999999</v>
      </c>
      <c r="I16">
        <v>0.4</v>
      </c>
      <c r="J16">
        <v>3.4489999999999998</v>
      </c>
      <c r="K16">
        <v>2.48</v>
      </c>
      <c r="L16">
        <v>87.718999999999994</v>
      </c>
      <c r="M16">
        <v>63.18</v>
      </c>
    </row>
    <row r="17" spans="1:13" x14ac:dyDescent="0.35">
      <c r="A17" t="s">
        <v>28</v>
      </c>
      <c r="B17">
        <v>0.27900000000000003</v>
      </c>
      <c r="C17">
        <v>0.29299999999999998</v>
      </c>
      <c r="D17">
        <v>0.3</v>
      </c>
      <c r="E17">
        <v>0.31900000000000001</v>
      </c>
      <c r="F17">
        <v>0.36299999999999999</v>
      </c>
      <c r="G17">
        <v>0.39200000000000002</v>
      </c>
      <c r="H17">
        <v>0.39700000000000002</v>
      </c>
      <c r="I17">
        <v>0.35399999999999998</v>
      </c>
      <c r="J17">
        <v>2.6970000000000001</v>
      </c>
      <c r="K17">
        <v>1.94</v>
      </c>
      <c r="L17">
        <v>90.415999999999997</v>
      </c>
      <c r="M17">
        <v>65.13</v>
      </c>
    </row>
    <row r="18" spans="1:13" x14ac:dyDescent="0.35">
      <c r="A18" t="s">
        <v>29</v>
      </c>
      <c r="B18">
        <v>0.47099999999999997</v>
      </c>
      <c r="C18">
        <v>0.47099999999999997</v>
      </c>
      <c r="D18">
        <v>0.42</v>
      </c>
      <c r="E18">
        <v>0.46899999999999997</v>
      </c>
      <c r="F18">
        <v>0.46</v>
      </c>
      <c r="G18">
        <v>0.52700000000000002</v>
      </c>
      <c r="H18">
        <v>0.439</v>
      </c>
      <c r="I18">
        <v>0.51500000000000001</v>
      </c>
      <c r="J18">
        <v>3.7709999999999999</v>
      </c>
      <c r="K18">
        <v>2.72</v>
      </c>
      <c r="L18">
        <v>94.186999999999998</v>
      </c>
      <c r="M18">
        <v>67.84</v>
      </c>
    </row>
    <row r="19" spans="1:13" x14ac:dyDescent="0.35">
      <c r="A19" t="s">
        <v>30</v>
      </c>
      <c r="B19">
        <v>0.29899999999999999</v>
      </c>
      <c r="C19">
        <v>0.32100000000000001</v>
      </c>
      <c r="D19">
        <v>0.312</v>
      </c>
      <c r="E19">
        <v>0.34300000000000003</v>
      </c>
      <c r="F19">
        <v>0.38400000000000001</v>
      </c>
      <c r="G19">
        <v>0.36099999999999999</v>
      </c>
      <c r="H19">
        <v>0.35299999999999998</v>
      </c>
      <c r="I19">
        <v>0.309</v>
      </c>
      <c r="J19">
        <v>2.6829999999999998</v>
      </c>
      <c r="K19">
        <v>1.93</v>
      </c>
      <c r="L19">
        <v>96.87</v>
      </c>
      <c r="M19">
        <v>69.78</v>
      </c>
    </row>
    <row r="20" spans="1:13" x14ac:dyDescent="0.35">
      <c r="A20" t="s">
        <v>31</v>
      </c>
      <c r="B20">
        <v>0.20699999999999999</v>
      </c>
      <c r="C20">
        <v>0.29199999999999998</v>
      </c>
      <c r="D20">
        <v>0.253</v>
      </c>
      <c r="E20">
        <v>0.185</v>
      </c>
      <c r="F20">
        <v>0.105</v>
      </c>
      <c r="G20">
        <v>0.249</v>
      </c>
      <c r="H20">
        <v>0.245</v>
      </c>
      <c r="I20">
        <v>0.21299999999999999</v>
      </c>
      <c r="J20">
        <v>1.748</v>
      </c>
      <c r="K20">
        <v>1.26</v>
      </c>
      <c r="L20">
        <v>98.617999999999995</v>
      </c>
      <c r="M20">
        <v>71.040000000000006</v>
      </c>
    </row>
    <row r="21" spans="1:13" x14ac:dyDescent="0.35">
      <c r="A21" t="s">
        <v>32</v>
      </c>
      <c r="B21">
        <v>7.0000000000000001E-3</v>
      </c>
      <c r="C21">
        <v>8.0000000000000002E-3</v>
      </c>
      <c r="D21">
        <v>8.0000000000000002E-3</v>
      </c>
      <c r="E21">
        <v>1.4E-2</v>
      </c>
      <c r="F21">
        <v>1.0999999999999999E-2</v>
      </c>
      <c r="G21">
        <v>1.0999999999999999E-2</v>
      </c>
      <c r="H21">
        <v>1.4E-2</v>
      </c>
      <c r="I21">
        <v>1.0999999999999999E-2</v>
      </c>
      <c r="J21">
        <v>8.3000000000000004E-2</v>
      </c>
      <c r="K21">
        <v>0.06</v>
      </c>
      <c r="L21">
        <v>98.701999999999998</v>
      </c>
      <c r="M21">
        <v>71.099999999999994</v>
      </c>
    </row>
    <row r="22" spans="1:13" x14ac:dyDescent="0.35">
      <c r="A22" t="s">
        <v>33</v>
      </c>
      <c r="B22">
        <v>0.25</v>
      </c>
      <c r="C22">
        <v>0.23899999999999999</v>
      </c>
      <c r="D22">
        <v>0.22600000000000001</v>
      </c>
      <c r="E22">
        <v>0.23200000000000001</v>
      </c>
      <c r="F22">
        <v>0.251</v>
      </c>
      <c r="G22">
        <v>0.26500000000000001</v>
      </c>
      <c r="H22">
        <v>0.26</v>
      </c>
      <c r="I22">
        <v>0.215</v>
      </c>
      <c r="J22">
        <v>1.9390000000000001</v>
      </c>
      <c r="K22">
        <v>1.4</v>
      </c>
      <c r="L22">
        <v>100.64</v>
      </c>
      <c r="M22">
        <v>72.489999999999995</v>
      </c>
    </row>
    <row r="23" spans="1:13" x14ac:dyDescent="0.35">
      <c r="A23" t="s">
        <v>34</v>
      </c>
      <c r="B23">
        <v>0.252</v>
      </c>
      <c r="C23">
        <v>0.26900000000000002</v>
      </c>
      <c r="D23">
        <v>0.2</v>
      </c>
      <c r="E23">
        <v>0.248</v>
      </c>
      <c r="F23">
        <v>0.21299999999999999</v>
      </c>
      <c r="G23">
        <v>0.216</v>
      </c>
      <c r="H23">
        <v>0.27100000000000002</v>
      </c>
      <c r="I23">
        <v>0.25600000000000001</v>
      </c>
      <c r="J23">
        <v>1.9259999999999999</v>
      </c>
      <c r="K23">
        <v>1.39</v>
      </c>
      <c r="L23">
        <v>102.566</v>
      </c>
      <c r="M23">
        <v>73.88</v>
      </c>
    </row>
    <row r="24" spans="1:13" x14ac:dyDescent="0.35">
      <c r="A24" t="s">
        <v>35</v>
      </c>
      <c r="B24">
        <v>0.191</v>
      </c>
      <c r="C24">
        <v>0.20200000000000001</v>
      </c>
      <c r="D24">
        <v>0.19800000000000001</v>
      </c>
      <c r="E24">
        <v>0.217</v>
      </c>
      <c r="F24">
        <v>0.24299999999999999</v>
      </c>
      <c r="G24">
        <v>0.25900000000000001</v>
      </c>
      <c r="H24">
        <v>0.25700000000000001</v>
      </c>
      <c r="I24">
        <v>0.223</v>
      </c>
      <c r="J24">
        <v>1.7909999999999999</v>
      </c>
      <c r="K24">
        <v>1.29</v>
      </c>
      <c r="L24">
        <v>104.357</v>
      </c>
      <c r="M24">
        <v>75.17</v>
      </c>
    </row>
    <row r="25" spans="1:13" x14ac:dyDescent="0.35">
      <c r="A25" t="s">
        <v>36</v>
      </c>
      <c r="B25">
        <v>0.17599999999999999</v>
      </c>
      <c r="C25">
        <v>0.17100000000000001</v>
      </c>
      <c r="D25">
        <v>0.23400000000000001</v>
      </c>
      <c r="E25">
        <v>0.248</v>
      </c>
      <c r="F25">
        <v>0.22800000000000001</v>
      </c>
      <c r="G25">
        <v>0.25600000000000001</v>
      </c>
      <c r="H25">
        <v>0.30299999999999999</v>
      </c>
      <c r="I25">
        <v>0.245</v>
      </c>
      <c r="J25">
        <v>1.86</v>
      </c>
      <c r="K25">
        <v>1.34</v>
      </c>
      <c r="L25">
        <v>106.217</v>
      </c>
      <c r="M25">
        <v>76.510000000000005</v>
      </c>
    </row>
    <row r="26" spans="1:13" x14ac:dyDescent="0.35">
      <c r="A26" t="s">
        <v>37</v>
      </c>
      <c r="B26">
        <v>0.153</v>
      </c>
      <c r="C26">
        <v>0.19700000000000001</v>
      </c>
      <c r="D26">
        <v>0.23799999999999999</v>
      </c>
      <c r="E26">
        <v>0.17699999999999999</v>
      </c>
      <c r="F26">
        <v>0.251</v>
      </c>
      <c r="G26">
        <v>0.26</v>
      </c>
      <c r="H26">
        <v>0.21199999999999999</v>
      </c>
      <c r="I26">
        <v>0.23599999999999999</v>
      </c>
      <c r="J26">
        <v>1.7230000000000001</v>
      </c>
      <c r="K26">
        <v>1.24</v>
      </c>
      <c r="L26">
        <v>107.941</v>
      </c>
      <c r="M26">
        <v>77.75</v>
      </c>
    </row>
    <row r="27" spans="1:13" x14ac:dyDescent="0.35">
      <c r="A27" t="s">
        <v>38</v>
      </c>
      <c r="B27">
        <v>0.109</v>
      </c>
      <c r="C27">
        <v>0.12</v>
      </c>
      <c r="D27">
        <v>0.112</v>
      </c>
      <c r="E27">
        <v>0.112</v>
      </c>
      <c r="F27">
        <v>0.124</v>
      </c>
      <c r="G27">
        <v>0.13600000000000001</v>
      </c>
      <c r="H27">
        <v>0.128</v>
      </c>
      <c r="I27">
        <v>0.123</v>
      </c>
      <c r="J27">
        <v>0.96399999999999997</v>
      </c>
      <c r="K27">
        <v>0.69</v>
      </c>
      <c r="L27">
        <v>108.904</v>
      </c>
      <c r="M27">
        <v>78.45</v>
      </c>
    </row>
    <row r="28" spans="1:13" x14ac:dyDescent="0.35">
      <c r="A28" t="s">
        <v>39</v>
      </c>
      <c r="B28">
        <v>0.246</v>
      </c>
      <c r="C28">
        <v>0.22900000000000001</v>
      </c>
      <c r="D28">
        <v>0.247</v>
      </c>
      <c r="E28">
        <v>0.28899999999999998</v>
      </c>
      <c r="F28">
        <v>0.35499999999999998</v>
      </c>
      <c r="G28">
        <v>0.376</v>
      </c>
      <c r="H28">
        <v>0.375</v>
      </c>
      <c r="I28">
        <v>0.30499999999999999</v>
      </c>
      <c r="J28">
        <v>2.4220000000000002</v>
      </c>
      <c r="K28">
        <v>1.74</v>
      </c>
      <c r="L28">
        <v>111.32599999999999</v>
      </c>
      <c r="M28">
        <v>80.19</v>
      </c>
    </row>
    <row r="29" spans="1:13" x14ac:dyDescent="0.35">
      <c r="A29" t="s">
        <v>40</v>
      </c>
      <c r="B29">
        <v>0.18099999999999999</v>
      </c>
      <c r="C29">
        <v>0.13200000000000001</v>
      </c>
      <c r="D29">
        <v>0.192</v>
      </c>
      <c r="E29">
        <v>0.312</v>
      </c>
      <c r="F29">
        <v>0.185</v>
      </c>
      <c r="G29">
        <v>0.23499999999999999</v>
      </c>
      <c r="H29">
        <v>0.32300000000000001</v>
      </c>
      <c r="I29">
        <v>0.30599999999999999</v>
      </c>
      <c r="J29">
        <v>1.8660000000000001</v>
      </c>
      <c r="K29">
        <v>1.34</v>
      </c>
      <c r="L29">
        <v>113.19199999999999</v>
      </c>
      <c r="M29">
        <v>81.53</v>
      </c>
    </row>
    <row r="30" spans="1:13" x14ac:dyDescent="0.35">
      <c r="A30" t="s">
        <v>41</v>
      </c>
      <c r="B30">
        <v>0.19900000000000001</v>
      </c>
      <c r="C30">
        <v>0.26800000000000002</v>
      </c>
      <c r="D30">
        <v>0.218</v>
      </c>
      <c r="E30">
        <v>9.1999999999999998E-2</v>
      </c>
      <c r="F30">
        <v>0.26500000000000001</v>
      </c>
      <c r="G30">
        <v>0.28299999999999997</v>
      </c>
      <c r="H30">
        <v>0.14099999999999999</v>
      </c>
      <c r="I30">
        <v>0.246</v>
      </c>
      <c r="J30">
        <v>1.7110000000000001</v>
      </c>
      <c r="K30">
        <v>1.23</v>
      </c>
      <c r="L30">
        <v>114.90300000000001</v>
      </c>
      <c r="M30">
        <v>82.77</v>
      </c>
    </row>
    <row r="31" spans="1:13" x14ac:dyDescent="0.35">
      <c r="A31" t="s">
        <v>42</v>
      </c>
      <c r="B31">
        <v>0.107</v>
      </c>
      <c r="C31">
        <v>0.22600000000000001</v>
      </c>
      <c r="D31">
        <v>0.2</v>
      </c>
      <c r="E31">
        <v>0.27</v>
      </c>
      <c r="F31">
        <v>0.22600000000000001</v>
      </c>
      <c r="G31">
        <v>0.38700000000000001</v>
      </c>
      <c r="H31">
        <v>0.17399999999999999</v>
      </c>
      <c r="I31">
        <v>0.215</v>
      </c>
      <c r="J31">
        <v>1.804</v>
      </c>
      <c r="K31">
        <v>1.3</v>
      </c>
      <c r="L31">
        <v>116.70699999999999</v>
      </c>
      <c r="M31">
        <v>84.07</v>
      </c>
    </row>
    <row r="32" spans="1:13" x14ac:dyDescent="0.35">
      <c r="A32" t="s">
        <v>43</v>
      </c>
      <c r="B32">
        <v>0.13</v>
      </c>
      <c r="C32">
        <v>2.1999999999999999E-2</v>
      </c>
      <c r="D32">
        <v>0.11899999999999999</v>
      </c>
      <c r="E32">
        <v>6.7000000000000004E-2</v>
      </c>
      <c r="F32">
        <v>0.11799999999999999</v>
      </c>
      <c r="G32">
        <v>0.20200000000000001</v>
      </c>
      <c r="H32">
        <v>0.216</v>
      </c>
      <c r="I32">
        <v>1.7999999999999999E-2</v>
      </c>
      <c r="J32">
        <v>0.89300000000000002</v>
      </c>
      <c r="K32">
        <v>0.64</v>
      </c>
      <c r="L32">
        <v>117.6</v>
      </c>
      <c r="M32">
        <v>84.71</v>
      </c>
    </row>
    <row r="33" spans="1:13" x14ac:dyDescent="0.35">
      <c r="A33" t="s">
        <v>44</v>
      </c>
      <c r="B33">
        <v>8.7999999999999995E-2</v>
      </c>
      <c r="C33">
        <v>7.9000000000000001E-2</v>
      </c>
      <c r="D33">
        <v>0.15</v>
      </c>
      <c r="E33">
        <v>0.187</v>
      </c>
      <c r="F33">
        <v>0.17100000000000001</v>
      </c>
      <c r="G33">
        <v>0.16400000000000001</v>
      </c>
      <c r="H33">
        <v>0.38</v>
      </c>
      <c r="I33">
        <v>0.156</v>
      </c>
      <c r="J33">
        <v>1.375</v>
      </c>
      <c r="K33">
        <v>0.99</v>
      </c>
      <c r="L33">
        <v>118.97499999999999</v>
      </c>
      <c r="M33">
        <v>85.7</v>
      </c>
    </row>
    <row r="34" spans="1:13" x14ac:dyDescent="0.35">
      <c r="A34" t="s">
        <v>45</v>
      </c>
      <c r="B34">
        <v>7.1999999999999995E-2</v>
      </c>
      <c r="C34">
        <v>6.7000000000000004E-2</v>
      </c>
      <c r="D34">
        <v>6.3E-2</v>
      </c>
      <c r="E34">
        <v>7.1999999999999995E-2</v>
      </c>
      <c r="F34">
        <v>9.2999999999999999E-2</v>
      </c>
      <c r="G34">
        <v>0.10100000000000001</v>
      </c>
      <c r="H34">
        <v>9.4E-2</v>
      </c>
      <c r="I34">
        <v>7.8E-2</v>
      </c>
      <c r="J34">
        <v>0.64100000000000001</v>
      </c>
      <c r="K34">
        <v>0.46</v>
      </c>
      <c r="L34">
        <v>119.616</v>
      </c>
      <c r="M34">
        <v>86.16</v>
      </c>
    </row>
    <row r="35" spans="1:13" x14ac:dyDescent="0.35">
      <c r="A35" t="s">
        <v>46</v>
      </c>
      <c r="B35">
        <v>7.5999999999999998E-2</v>
      </c>
      <c r="C35">
        <v>9.4E-2</v>
      </c>
      <c r="D35">
        <v>0.14399999999999999</v>
      </c>
      <c r="E35">
        <v>8.8999999999999996E-2</v>
      </c>
      <c r="F35">
        <v>6.5000000000000002E-2</v>
      </c>
      <c r="G35">
        <v>0.10199999999999999</v>
      </c>
      <c r="H35">
        <v>0.10199999999999999</v>
      </c>
      <c r="I35">
        <v>0.17599999999999999</v>
      </c>
      <c r="J35">
        <v>0.84799999999999998</v>
      </c>
      <c r="K35">
        <v>0.61</v>
      </c>
      <c r="L35">
        <v>120.464</v>
      </c>
      <c r="M35">
        <v>86.77</v>
      </c>
    </row>
    <row r="36" spans="1:13" x14ac:dyDescent="0.35">
      <c r="A36" t="s">
        <v>47</v>
      </c>
      <c r="B36">
        <v>0.17399999999999999</v>
      </c>
      <c r="C36">
        <v>0.14199999999999999</v>
      </c>
      <c r="D36">
        <v>8.4000000000000005E-2</v>
      </c>
      <c r="E36">
        <v>0.16900000000000001</v>
      </c>
      <c r="F36">
        <v>0.21199999999999999</v>
      </c>
      <c r="G36">
        <v>0.23</v>
      </c>
      <c r="H36">
        <v>0.247</v>
      </c>
      <c r="I36">
        <v>0.13600000000000001</v>
      </c>
      <c r="J36">
        <v>1.395</v>
      </c>
      <c r="K36">
        <v>1</v>
      </c>
      <c r="L36">
        <v>121.85899999999999</v>
      </c>
      <c r="M36">
        <v>87.78</v>
      </c>
    </row>
    <row r="37" spans="1:13" x14ac:dyDescent="0.35">
      <c r="A37" t="s">
        <v>48</v>
      </c>
      <c r="B37">
        <v>5.0999999999999997E-2</v>
      </c>
      <c r="C37">
        <v>5.2999999999999999E-2</v>
      </c>
      <c r="D37">
        <v>3.5000000000000003E-2</v>
      </c>
      <c r="E37">
        <v>4.2000000000000003E-2</v>
      </c>
      <c r="F37">
        <v>0.13800000000000001</v>
      </c>
      <c r="G37">
        <v>9.9000000000000005E-2</v>
      </c>
      <c r="H37">
        <v>4.1000000000000002E-2</v>
      </c>
      <c r="I37">
        <v>7.3999999999999996E-2</v>
      </c>
      <c r="J37">
        <v>0.53400000000000003</v>
      </c>
      <c r="K37">
        <v>0.38</v>
      </c>
      <c r="L37">
        <v>122.393</v>
      </c>
      <c r="M37">
        <v>88.16</v>
      </c>
    </row>
    <row r="38" spans="1:13" x14ac:dyDescent="0.35">
      <c r="A38" t="s">
        <v>49</v>
      </c>
      <c r="B38">
        <v>6.8000000000000005E-2</v>
      </c>
      <c r="C38">
        <v>7.4999999999999997E-2</v>
      </c>
      <c r="D38">
        <v>7.6999999999999999E-2</v>
      </c>
      <c r="E38">
        <v>8.4000000000000005E-2</v>
      </c>
      <c r="F38">
        <v>8.8999999999999996E-2</v>
      </c>
      <c r="G38">
        <v>9.2999999999999999E-2</v>
      </c>
      <c r="H38">
        <v>8.6999999999999994E-2</v>
      </c>
      <c r="I38">
        <v>7.5999999999999998E-2</v>
      </c>
      <c r="J38">
        <v>0.64900000000000002</v>
      </c>
      <c r="K38">
        <v>0.47</v>
      </c>
      <c r="L38">
        <v>123.042</v>
      </c>
      <c r="M38">
        <v>88.63</v>
      </c>
    </row>
    <row r="39" spans="1:13" x14ac:dyDescent="0.35">
      <c r="A39" t="s">
        <v>50</v>
      </c>
      <c r="B39">
        <v>8.7999999999999995E-2</v>
      </c>
      <c r="C39">
        <v>0.108</v>
      </c>
      <c r="D39">
        <v>0.11799999999999999</v>
      </c>
      <c r="E39">
        <v>0.12</v>
      </c>
      <c r="F39">
        <v>9.7000000000000003E-2</v>
      </c>
      <c r="G39">
        <v>0.14799999999999999</v>
      </c>
      <c r="H39">
        <v>0.124</v>
      </c>
      <c r="I39">
        <v>0.11</v>
      </c>
      <c r="J39">
        <v>0.91100000000000003</v>
      </c>
      <c r="K39">
        <v>0.66</v>
      </c>
      <c r="L39">
        <v>123.953</v>
      </c>
      <c r="M39">
        <v>89.29</v>
      </c>
    </row>
    <row r="40" spans="1:13" x14ac:dyDescent="0.35">
      <c r="A40" t="s">
        <v>51</v>
      </c>
      <c r="B40">
        <v>0.19900000000000001</v>
      </c>
      <c r="C40">
        <v>0.17899999999999999</v>
      </c>
      <c r="D40">
        <v>0.16400000000000001</v>
      </c>
      <c r="E40">
        <v>0.16800000000000001</v>
      </c>
      <c r="F40">
        <v>0.23100000000000001</v>
      </c>
      <c r="G40">
        <v>0.28299999999999997</v>
      </c>
      <c r="H40">
        <v>0.29699999999999999</v>
      </c>
      <c r="I40">
        <v>0.27400000000000002</v>
      </c>
      <c r="J40">
        <v>1.7949999999999999</v>
      </c>
      <c r="K40">
        <v>1.29</v>
      </c>
      <c r="L40">
        <v>125.748</v>
      </c>
      <c r="M40">
        <v>90.58</v>
      </c>
    </row>
    <row r="41" spans="1:13" x14ac:dyDescent="0.35">
      <c r="A41" t="s">
        <v>52</v>
      </c>
      <c r="B41">
        <v>6.7000000000000004E-2</v>
      </c>
      <c r="C41">
        <v>0.11</v>
      </c>
      <c r="D41">
        <v>9.9000000000000005E-2</v>
      </c>
      <c r="E41">
        <v>0.05</v>
      </c>
      <c r="F41">
        <v>0.105</v>
      </c>
      <c r="G41">
        <v>9.8000000000000004E-2</v>
      </c>
      <c r="H41">
        <v>9.1999999999999998E-2</v>
      </c>
      <c r="I41">
        <v>0.113</v>
      </c>
      <c r="J41">
        <v>0.73399999999999999</v>
      </c>
      <c r="K41">
        <v>0.53</v>
      </c>
      <c r="L41">
        <v>126.482</v>
      </c>
      <c r="M41">
        <v>91.11</v>
      </c>
    </row>
    <row r="42" spans="1:13" x14ac:dyDescent="0.35">
      <c r="A42" t="s">
        <v>53</v>
      </c>
      <c r="B42">
        <v>8.1000000000000003E-2</v>
      </c>
      <c r="C42">
        <v>0.122</v>
      </c>
      <c r="D42">
        <v>1.2E-2</v>
      </c>
      <c r="E42">
        <v>0.13600000000000001</v>
      </c>
      <c r="F42">
        <v>3.3000000000000002E-2</v>
      </c>
      <c r="G42">
        <v>3.7999999999999999E-2</v>
      </c>
      <c r="H42">
        <v>4.2000000000000003E-2</v>
      </c>
      <c r="I42">
        <v>5.0999999999999997E-2</v>
      </c>
      <c r="J42">
        <v>0.51500000000000001</v>
      </c>
      <c r="K42">
        <v>0.37</v>
      </c>
      <c r="L42">
        <v>126.997</v>
      </c>
      <c r="M42">
        <v>91.48</v>
      </c>
    </row>
    <row r="43" spans="1:13" x14ac:dyDescent="0.35">
      <c r="A43" t="s">
        <v>54</v>
      </c>
      <c r="B43">
        <v>7.0999999999999994E-2</v>
      </c>
      <c r="C43">
        <v>9.0999999999999998E-2</v>
      </c>
      <c r="D43">
        <v>7.5999999999999998E-2</v>
      </c>
      <c r="E43">
        <v>5.7000000000000002E-2</v>
      </c>
      <c r="F43">
        <v>0.151</v>
      </c>
      <c r="G43">
        <v>0.108</v>
      </c>
      <c r="H43">
        <v>0.182</v>
      </c>
      <c r="I43">
        <v>8.5999999999999993E-2</v>
      </c>
      <c r="J43">
        <v>0.82099999999999995</v>
      </c>
      <c r="K43">
        <v>0.59</v>
      </c>
      <c r="L43">
        <v>127.81699999999999</v>
      </c>
      <c r="M43">
        <v>92.07</v>
      </c>
    </row>
    <row r="44" spans="1:13" x14ac:dyDescent="0.35">
      <c r="A44" t="s">
        <v>55</v>
      </c>
      <c r="B44">
        <v>6.0999999999999999E-2</v>
      </c>
      <c r="C44">
        <v>7.5999999999999998E-2</v>
      </c>
      <c r="D44">
        <v>9.1999999999999998E-2</v>
      </c>
      <c r="E44">
        <v>9.2999999999999999E-2</v>
      </c>
      <c r="F44">
        <v>6.6000000000000003E-2</v>
      </c>
      <c r="G44">
        <v>8.2000000000000003E-2</v>
      </c>
      <c r="H44">
        <v>8.2000000000000003E-2</v>
      </c>
      <c r="I44">
        <v>2.1000000000000001E-2</v>
      </c>
      <c r="J44">
        <v>0.57399999999999995</v>
      </c>
      <c r="K44">
        <v>0.41</v>
      </c>
      <c r="L44">
        <v>128.392</v>
      </c>
      <c r="M44">
        <v>92.48</v>
      </c>
    </row>
    <row r="45" spans="1:13" x14ac:dyDescent="0.35">
      <c r="A45" t="s">
        <v>56</v>
      </c>
      <c r="B45">
        <v>4.2000000000000003E-2</v>
      </c>
      <c r="C45">
        <v>2.8000000000000001E-2</v>
      </c>
      <c r="D45">
        <v>6.8000000000000005E-2</v>
      </c>
      <c r="E45">
        <v>4.7E-2</v>
      </c>
      <c r="F45">
        <v>3.4000000000000002E-2</v>
      </c>
      <c r="G45">
        <v>7.0999999999999994E-2</v>
      </c>
      <c r="H45">
        <v>5.6000000000000001E-2</v>
      </c>
      <c r="I45">
        <v>7.0000000000000007E-2</v>
      </c>
      <c r="J45">
        <v>0.41599999999999998</v>
      </c>
      <c r="K45">
        <v>0.3</v>
      </c>
      <c r="L45">
        <v>128.80699999999999</v>
      </c>
      <c r="M45">
        <v>92.78</v>
      </c>
    </row>
    <row r="46" spans="1:13" x14ac:dyDescent="0.35">
      <c r="A46" t="s">
        <v>57</v>
      </c>
      <c r="B46">
        <v>2.5999999999999999E-2</v>
      </c>
      <c r="C46">
        <v>0.11799999999999999</v>
      </c>
      <c r="D46">
        <v>0.17199999999999999</v>
      </c>
      <c r="E46">
        <v>6.6000000000000003E-2</v>
      </c>
      <c r="F46">
        <v>7.1999999999999995E-2</v>
      </c>
      <c r="G46">
        <v>0.154</v>
      </c>
      <c r="H46">
        <v>7.3999999999999996E-2</v>
      </c>
      <c r="I46">
        <v>0.20499999999999999</v>
      </c>
      <c r="J46">
        <v>0.88700000000000001</v>
      </c>
      <c r="K46">
        <v>0.64</v>
      </c>
      <c r="L46">
        <v>129.69399999999999</v>
      </c>
      <c r="M46">
        <v>93.42</v>
      </c>
    </row>
    <row r="47" spans="1:13" x14ac:dyDescent="0.35">
      <c r="A47" t="s">
        <v>58</v>
      </c>
      <c r="B47">
        <v>5.3999999999999999E-2</v>
      </c>
      <c r="C47">
        <v>5.3999999999999999E-2</v>
      </c>
      <c r="D47">
        <v>4.7E-2</v>
      </c>
      <c r="E47">
        <v>6.9000000000000006E-2</v>
      </c>
      <c r="F47">
        <v>7.9000000000000001E-2</v>
      </c>
      <c r="G47">
        <v>9.1999999999999998E-2</v>
      </c>
      <c r="H47">
        <v>9.7000000000000003E-2</v>
      </c>
      <c r="I47">
        <v>8.5999999999999993E-2</v>
      </c>
      <c r="J47">
        <v>0.57699999999999996</v>
      </c>
      <c r="K47">
        <v>0.42</v>
      </c>
      <c r="L47">
        <v>130.27199999999999</v>
      </c>
      <c r="M47">
        <v>93.84</v>
      </c>
    </row>
    <row r="48" spans="1:13" x14ac:dyDescent="0.35">
      <c r="A48" t="s">
        <v>59</v>
      </c>
      <c r="B48">
        <v>3.5000000000000003E-2</v>
      </c>
      <c r="C48">
        <v>2.8000000000000001E-2</v>
      </c>
      <c r="D48">
        <v>0.03</v>
      </c>
      <c r="E48">
        <v>2.3E-2</v>
      </c>
      <c r="F48">
        <v>6.7000000000000004E-2</v>
      </c>
      <c r="G48">
        <v>2.5999999999999999E-2</v>
      </c>
      <c r="H48">
        <v>0.05</v>
      </c>
      <c r="I48">
        <v>6.2E-2</v>
      </c>
      <c r="J48">
        <v>0.32100000000000001</v>
      </c>
      <c r="K48">
        <v>0.23</v>
      </c>
      <c r="L48">
        <v>130.59299999999999</v>
      </c>
      <c r="M48">
        <v>94.07</v>
      </c>
    </row>
    <row r="49" spans="1:13" x14ac:dyDescent="0.35">
      <c r="A49" t="s">
        <v>60</v>
      </c>
      <c r="B49">
        <v>0.126</v>
      </c>
      <c r="C49">
        <v>0.124</v>
      </c>
      <c r="D49">
        <v>0.14099999999999999</v>
      </c>
      <c r="E49">
        <v>0.13800000000000001</v>
      </c>
      <c r="F49">
        <v>0.13900000000000001</v>
      </c>
      <c r="G49">
        <v>0.14599999999999999</v>
      </c>
      <c r="H49">
        <v>0.217</v>
      </c>
      <c r="I49">
        <v>0.158</v>
      </c>
      <c r="J49">
        <v>1.1879999999999999</v>
      </c>
      <c r="K49">
        <v>0.86</v>
      </c>
      <c r="L49">
        <v>131.78100000000001</v>
      </c>
      <c r="M49">
        <v>94.92</v>
      </c>
    </row>
    <row r="50" spans="1:13" x14ac:dyDescent="0.35">
      <c r="A50" t="s">
        <v>61</v>
      </c>
      <c r="B50">
        <v>3.1E-2</v>
      </c>
      <c r="C50">
        <v>1.7000000000000001E-2</v>
      </c>
      <c r="D50">
        <v>0.09</v>
      </c>
      <c r="E50">
        <v>7.3999999999999996E-2</v>
      </c>
      <c r="F50">
        <v>0.161</v>
      </c>
      <c r="G50">
        <v>0.13300000000000001</v>
      </c>
      <c r="H50">
        <v>0.16</v>
      </c>
      <c r="I50">
        <v>9.7000000000000003E-2</v>
      </c>
      <c r="J50">
        <v>0.76300000000000001</v>
      </c>
      <c r="K50">
        <v>0.55000000000000004</v>
      </c>
      <c r="L50">
        <v>132.54400000000001</v>
      </c>
      <c r="M50">
        <v>95.47</v>
      </c>
    </row>
    <row r="51" spans="1:13" x14ac:dyDescent="0.35">
      <c r="A51" t="s">
        <v>62</v>
      </c>
      <c r="B51">
        <v>5.8999999999999997E-2</v>
      </c>
      <c r="C51">
        <v>5.8999999999999997E-2</v>
      </c>
      <c r="D51">
        <v>7.0999999999999994E-2</v>
      </c>
      <c r="E51">
        <v>0.08</v>
      </c>
      <c r="F51">
        <v>8.6999999999999994E-2</v>
      </c>
      <c r="G51">
        <v>0.106</v>
      </c>
      <c r="H51">
        <v>9.2999999999999999E-2</v>
      </c>
      <c r="I51">
        <v>8.2000000000000003E-2</v>
      </c>
      <c r="J51">
        <v>0.63600000000000001</v>
      </c>
      <c r="K51">
        <v>0.46</v>
      </c>
      <c r="L51">
        <v>133.18</v>
      </c>
      <c r="M51">
        <v>95.93</v>
      </c>
    </row>
    <row r="52" spans="1:13" x14ac:dyDescent="0.35">
      <c r="A52" t="s">
        <v>63</v>
      </c>
      <c r="B52">
        <v>6.7000000000000004E-2</v>
      </c>
      <c r="C52">
        <v>5.6000000000000001E-2</v>
      </c>
      <c r="D52">
        <v>5.3999999999999999E-2</v>
      </c>
      <c r="E52">
        <v>4.5999999999999999E-2</v>
      </c>
      <c r="F52">
        <v>2.9000000000000001E-2</v>
      </c>
      <c r="G52">
        <v>6.0999999999999999E-2</v>
      </c>
      <c r="H52">
        <v>4.9000000000000002E-2</v>
      </c>
      <c r="I52">
        <v>7.0000000000000007E-2</v>
      </c>
      <c r="J52">
        <v>0.43099999999999999</v>
      </c>
      <c r="K52">
        <v>0.31</v>
      </c>
      <c r="L52">
        <v>133.61099999999999</v>
      </c>
      <c r="M52">
        <v>96.24</v>
      </c>
    </row>
    <row r="53" spans="1:13" x14ac:dyDescent="0.35">
      <c r="A53" t="s">
        <v>64</v>
      </c>
      <c r="B53">
        <v>5.0000000000000001E-3</v>
      </c>
      <c r="C53">
        <v>7.0000000000000001E-3</v>
      </c>
      <c r="D53">
        <v>8.0000000000000002E-3</v>
      </c>
      <c r="E53">
        <v>8.0000000000000002E-3</v>
      </c>
      <c r="F53">
        <v>8.9999999999999993E-3</v>
      </c>
      <c r="G53">
        <v>0.01</v>
      </c>
      <c r="H53">
        <v>8.9999999999999993E-3</v>
      </c>
      <c r="I53">
        <v>8.0000000000000002E-3</v>
      </c>
      <c r="J53">
        <v>6.5000000000000002E-2</v>
      </c>
      <c r="K53">
        <v>0.05</v>
      </c>
      <c r="L53">
        <v>133.67599999999999</v>
      </c>
      <c r="M53">
        <v>96.29</v>
      </c>
    </row>
    <row r="54" spans="1:13" x14ac:dyDescent="0.35">
      <c r="A54" t="s">
        <v>65</v>
      </c>
      <c r="B54">
        <v>3.2000000000000001E-2</v>
      </c>
      <c r="C54">
        <v>2.7E-2</v>
      </c>
      <c r="D54">
        <v>2.5000000000000001E-2</v>
      </c>
      <c r="E54">
        <v>2.1000000000000001E-2</v>
      </c>
      <c r="F54">
        <v>1.7999999999999999E-2</v>
      </c>
      <c r="G54">
        <v>0.02</v>
      </c>
      <c r="H54">
        <v>1.9E-2</v>
      </c>
      <c r="I54">
        <v>1.4E-2</v>
      </c>
      <c r="J54">
        <v>0.17799999999999999</v>
      </c>
      <c r="K54">
        <v>0.13</v>
      </c>
      <c r="L54">
        <v>133.85300000000001</v>
      </c>
      <c r="M54">
        <v>96.42</v>
      </c>
    </row>
    <row r="55" spans="1:13" x14ac:dyDescent="0.35">
      <c r="A55" t="s">
        <v>66</v>
      </c>
      <c r="B55">
        <v>6.7000000000000004E-2</v>
      </c>
      <c r="C55">
        <v>4.9000000000000002E-2</v>
      </c>
      <c r="D55">
        <v>4.4999999999999998E-2</v>
      </c>
      <c r="E55">
        <v>2.1999999999999999E-2</v>
      </c>
      <c r="F55">
        <v>5.8000000000000003E-2</v>
      </c>
      <c r="G55">
        <v>5.6000000000000001E-2</v>
      </c>
      <c r="H55">
        <v>6.9000000000000006E-2</v>
      </c>
      <c r="I55">
        <v>4.5999999999999999E-2</v>
      </c>
      <c r="J55">
        <v>0.41199999999999998</v>
      </c>
      <c r="K55">
        <v>0.3</v>
      </c>
      <c r="L55">
        <v>134.26499999999999</v>
      </c>
      <c r="M55">
        <v>96.71</v>
      </c>
    </row>
    <row r="56" spans="1:13" x14ac:dyDescent="0.35">
      <c r="A56" t="s">
        <v>67</v>
      </c>
      <c r="B56">
        <v>5.2999999999999999E-2</v>
      </c>
      <c r="C56">
        <v>6.9000000000000006E-2</v>
      </c>
      <c r="D56">
        <v>4.2000000000000003E-2</v>
      </c>
      <c r="E56">
        <v>5.3999999999999999E-2</v>
      </c>
      <c r="F56">
        <v>5.2999999999999999E-2</v>
      </c>
      <c r="G56">
        <v>9.7000000000000003E-2</v>
      </c>
      <c r="H56">
        <v>8.2000000000000003E-2</v>
      </c>
      <c r="I56">
        <v>0.02</v>
      </c>
      <c r="J56">
        <v>0.47099999999999997</v>
      </c>
      <c r="K56">
        <v>0.34</v>
      </c>
      <c r="L56">
        <v>134.73599999999999</v>
      </c>
      <c r="M56">
        <v>97.05</v>
      </c>
    </row>
    <row r="57" spans="1:13" x14ac:dyDescent="0.35">
      <c r="A57" t="s">
        <v>68</v>
      </c>
      <c r="B57">
        <v>1.9E-2</v>
      </c>
      <c r="C57">
        <v>3.7999999999999999E-2</v>
      </c>
      <c r="D57">
        <v>1.4999999999999999E-2</v>
      </c>
      <c r="E57">
        <v>3.5000000000000003E-2</v>
      </c>
      <c r="F57">
        <v>3.5999999999999997E-2</v>
      </c>
      <c r="G57">
        <v>4.9000000000000002E-2</v>
      </c>
      <c r="H57">
        <v>2.5999999999999999E-2</v>
      </c>
      <c r="I57">
        <v>3.1E-2</v>
      </c>
      <c r="J57">
        <v>0.248</v>
      </c>
      <c r="K57">
        <v>0.18</v>
      </c>
      <c r="L57">
        <v>134.98400000000001</v>
      </c>
      <c r="M57">
        <v>97.23</v>
      </c>
    </row>
    <row r="58" spans="1:13" x14ac:dyDescent="0.35">
      <c r="A58" t="s">
        <v>69</v>
      </c>
      <c r="B58">
        <v>0</v>
      </c>
      <c r="C58">
        <v>5.0000000000000001E-3</v>
      </c>
      <c r="D58">
        <v>7.0000000000000001E-3</v>
      </c>
      <c r="E58">
        <v>1E-3</v>
      </c>
      <c r="F58">
        <v>1E-3</v>
      </c>
      <c r="G58">
        <v>7.0000000000000001E-3</v>
      </c>
      <c r="H58">
        <v>7.0000000000000001E-3</v>
      </c>
      <c r="I58">
        <v>7.0000000000000001E-3</v>
      </c>
      <c r="J58">
        <v>3.5999999999999997E-2</v>
      </c>
      <c r="K58">
        <v>0.03</v>
      </c>
      <c r="L58">
        <v>135.01900000000001</v>
      </c>
      <c r="M58">
        <v>97.26</v>
      </c>
    </row>
    <row r="59" spans="1:13" x14ac:dyDescent="0.35">
      <c r="A59" t="s">
        <v>70</v>
      </c>
      <c r="B59">
        <v>1.0999999999999999E-2</v>
      </c>
      <c r="C59">
        <v>0.01</v>
      </c>
      <c r="D59">
        <v>1.2999999999999999E-2</v>
      </c>
      <c r="E59">
        <v>0.01</v>
      </c>
      <c r="F59">
        <v>1.7000000000000001E-2</v>
      </c>
      <c r="G59">
        <v>8.9999999999999993E-3</v>
      </c>
      <c r="H59">
        <v>1.7000000000000001E-2</v>
      </c>
      <c r="I59">
        <v>1.2999999999999999E-2</v>
      </c>
      <c r="J59">
        <v>0.10199999999999999</v>
      </c>
      <c r="K59">
        <v>7.0000000000000007E-2</v>
      </c>
      <c r="L59">
        <v>135.12100000000001</v>
      </c>
      <c r="M59">
        <v>97.33</v>
      </c>
    </row>
    <row r="60" spans="1:13" x14ac:dyDescent="0.35">
      <c r="A60" t="s">
        <v>71</v>
      </c>
      <c r="B60">
        <v>2E-3</v>
      </c>
      <c r="C60">
        <v>3.0000000000000001E-3</v>
      </c>
      <c r="D60">
        <v>3.0000000000000001E-3</v>
      </c>
      <c r="E60">
        <v>3.0000000000000001E-3</v>
      </c>
      <c r="F60">
        <v>4.0000000000000001E-3</v>
      </c>
      <c r="G60">
        <v>4.0000000000000001E-3</v>
      </c>
      <c r="H60">
        <v>4.0000000000000001E-3</v>
      </c>
      <c r="I60">
        <v>4.0000000000000001E-3</v>
      </c>
      <c r="J60">
        <v>2.5999999999999999E-2</v>
      </c>
      <c r="K60">
        <v>0.02</v>
      </c>
      <c r="L60">
        <v>135.14699999999999</v>
      </c>
      <c r="M60">
        <v>97.35</v>
      </c>
    </row>
    <row r="61" spans="1:13" x14ac:dyDescent="0.35">
      <c r="A61" t="s">
        <v>72</v>
      </c>
      <c r="B61">
        <v>3.0000000000000001E-3</v>
      </c>
      <c r="C61">
        <v>2.4E-2</v>
      </c>
      <c r="D61">
        <v>1.7000000000000001E-2</v>
      </c>
      <c r="E61">
        <v>3.7999999999999999E-2</v>
      </c>
      <c r="F61">
        <v>6.2E-2</v>
      </c>
      <c r="G61">
        <v>6.6000000000000003E-2</v>
      </c>
      <c r="H61">
        <v>3.0000000000000001E-3</v>
      </c>
      <c r="I61">
        <v>0.05</v>
      </c>
      <c r="J61">
        <v>0.26100000000000001</v>
      </c>
      <c r="K61">
        <v>0.19</v>
      </c>
      <c r="L61">
        <v>135.40799999999999</v>
      </c>
      <c r="M61">
        <v>97.54</v>
      </c>
    </row>
    <row r="62" spans="1:13" x14ac:dyDescent="0.35">
      <c r="A62" t="s">
        <v>73</v>
      </c>
      <c r="B62">
        <v>3.4000000000000002E-2</v>
      </c>
      <c r="C62">
        <v>8.5000000000000006E-2</v>
      </c>
      <c r="D62">
        <v>8.5999999999999993E-2</v>
      </c>
      <c r="E62">
        <v>7.3999999999999996E-2</v>
      </c>
      <c r="F62">
        <v>5.8999999999999997E-2</v>
      </c>
      <c r="G62">
        <v>0.06</v>
      </c>
      <c r="H62">
        <v>3.9E-2</v>
      </c>
      <c r="I62">
        <v>3.5000000000000003E-2</v>
      </c>
      <c r="J62">
        <v>0.47299999999999998</v>
      </c>
      <c r="K62">
        <v>0.34</v>
      </c>
      <c r="L62">
        <v>135.881</v>
      </c>
      <c r="M62">
        <v>97.88</v>
      </c>
    </row>
    <row r="63" spans="1:13" x14ac:dyDescent="0.35">
      <c r="A63" t="s">
        <v>74</v>
      </c>
      <c r="B63">
        <v>0.03</v>
      </c>
      <c r="C63">
        <v>1.4999999999999999E-2</v>
      </c>
      <c r="D63">
        <v>2.7E-2</v>
      </c>
      <c r="E63">
        <v>5.2999999999999999E-2</v>
      </c>
      <c r="F63">
        <v>4.7E-2</v>
      </c>
      <c r="G63">
        <v>2.5999999999999999E-2</v>
      </c>
      <c r="H63">
        <v>2.5000000000000001E-2</v>
      </c>
      <c r="I63">
        <v>1.7999999999999999E-2</v>
      </c>
      <c r="J63">
        <v>0.24099999999999999</v>
      </c>
      <c r="K63">
        <v>0.17</v>
      </c>
      <c r="L63">
        <v>136.12299999999999</v>
      </c>
      <c r="M63">
        <v>98.05</v>
      </c>
    </row>
    <row r="64" spans="1:13" x14ac:dyDescent="0.35">
      <c r="A64" t="s">
        <v>75</v>
      </c>
      <c r="B64">
        <v>2.8000000000000001E-2</v>
      </c>
      <c r="C64">
        <v>2.8000000000000001E-2</v>
      </c>
      <c r="D64">
        <v>2.5999999999999999E-2</v>
      </c>
      <c r="E64">
        <v>2.7E-2</v>
      </c>
      <c r="F64">
        <v>0.03</v>
      </c>
      <c r="G64">
        <v>3.2000000000000001E-2</v>
      </c>
      <c r="H64">
        <v>0.03</v>
      </c>
      <c r="I64">
        <v>2.5000000000000001E-2</v>
      </c>
      <c r="J64">
        <v>0.22500000000000001</v>
      </c>
      <c r="K64">
        <v>0.16</v>
      </c>
      <c r="L64">
        <v>136.34800000000001</v>
      </c>
      <c r="M64">
        <v>98.21</v>
      </c>
    </row>
    <row r="65" spans="1:13" x14ac:dyDescent="0.35">
      <c r="A65" t="s">
        <v>76</v>
      </c>
      <c r="B65">
        <v>6.0000000000000001E-3</v>
      </c>
      <c r="C65">
        <v>6.0000000000000001E-3</v>
      </c>
      <c r="D65">
        <v>6.0000000000000001E-3</v>
      </c>
      <c r="E65">
        <v>6.0000000000000001E-3</v>
      </c>
      <c r="F65">
        <v>5.0000000000000001E-3</v>
      </c>
      <c r="G65">
        <v>5.0000000000000001E-3</v>
      </c>
      <c r="H65">
        <v>5.0000000000000001E-3</v>
      </c>
      <c r="I65">
        <v>5.0000000000000001E-3</v>
      </c>
      <c r="J65">
        <v>4.3999999999999997E-2</v>
      </c>
      <c r="K65">
        <v>0.03</v>
      </c>
      <c r="L65">
        <v>136.392</v>
      </c>
      <c r="M65">
        <v>98.24</v>
      </c>
    </row>
    <row r="66" spans="1:13" x14ac:dyDescent="0.35">
      <c r="A66" t="s">
        <v>77</v>
      </c>
      <c r="B66">
        <v>0.109</v>
      </c>
      <c r="C66">
        <v>0.11799999999999999</v>
      </c>
      <c r="D66">
        <v>0.123</v>
      </c>
      <c r="E66">
        <v>0.122</v>
      </c>
      <c r="F66">
        <v>0.13400000000000001</v>
      </c>
      <c r="G66">
        <v>0.14799999999999999</v>
      </c>
      <c r="H66">
        <v>0.17699999999999999</v>
      </c>
      <c r="I66">
        <v>0.18</v>
      </c>
      <c r="J66">
        <v>1.111</v>
      </c>
      <c r="K66">
        <v>0.8</v>
      </c>
      <c r="L66">
        <v>137.50299999999999</v>
      </c>
      <c r="M66">
        <v>99.04</v>
      </c>
    </row>
    <row r="67" spans="1:13" x14ac:dyDescent="0.35">
      <c r="A67" t="s">
        <v>78</v>
      </c>
      <c r="B67">
        <v>5.1999999999999998E-2</v>
      </c>
      <c r="C67">
        <v>1.6E-2</v>
      </c>
      <c r="D67">
        <v>2.5000000000000001E-2</v>
      </c>
      <c r="E67">
        <v>4.7E-2</v>
      </c>
      <c r="F67">
        <v>6.4000000000000001E-2</v>
      </c>
      <c r="G67">
        <v>8.5999999999999993E-2</v>
      </c>
      <c r="H67">
        <v>0.10199999999999999</v>
      </c>
      <c r="I67">
        <v>7.5999999999999998E-2</v>
      </c>
      <c r="J67">
        <v>0.46700000000000003</v>
      </c>
      <c r="K67">
        <v>0.34</v>
      </c>
      <c r="L67">
        <v>137.96899999999999</v>
      </c>
      <c r="M67">
        <v>99.38</v>
      </c>
    </row>
    <row r="68" spans="1:13" x14ac:dyDescent="0.35">
      <c r="A68" t="s">
        <v>79</v>
      </c>
      <c r="B68">
        <v>0</v>
      </c>
      <c r="C68">
        <v>0</v>
      </c>
      <c r="D68">
        <v>0</v>
      </c>
      <c r="E68">
        <v>6.0000000000000001E-3</v>
      </c>
      <c r="F68">
        <v>0</v>
      </c>
      <c r="G68">
        <v>6.0000000000000001E-3</v>
      </c>
      <c r="H68">
        <v>0</v>
      </c>
      <c r="I68">
        <v>0</v>
      </c>
      <c r="J68">
        <v>1.2E-2</v>
      </c>
      <c r="K68">
        <v>0.01</v>
      </c>
      <c r="L68">
        <v>137.982</v>
      </c>
      <c r="M68">
        <v>99.39</v>
      </c>
    </row>
    <row r="69" spans="1:13" x14ac:dyDescent="0.35">
      <c r="A69" t="s">
        <v>80</v>
      </c>
      <c r="B69">
        <v>1.2999999999999999E-2</v>
      </c>
      <c r="C69">
        <v>1.4E-2</v>
      </c>
      <c r="D69">
        <v>1.4999999999999999E-2</v>
      </c>
      <c r="E69">
        <v>1.6E-2</v>
      </c>
      <c r="F69">
        <v>1.4999999999999999E-2</v>
      </c>
      <c r="G69">
        <v>1.6E-2</v>
      </c>
      <c r="H69">
        <v>1.4999999999999999E-2</v>
      </c>
      <c r="I69">
        <v>1.4E-2</v>
      </c>
      <c r="J69">
        <v>0.11799999999999999</v>
      </c>
      <c r="K69">
        <v>0.08</v>
      </c>
      <c r="L69">
        <v>138.1</v>
      </c>
      <c r="M69">
        <v>99.47</v>
      </c>
    </row>
    <row r="70" spans="1:13" x14ac:dyDescent="0.35">
      <c r="A70" t="s">
        <v>81</v>
      </c>
      <c r="B70">
        <v>4.5999999999999999E-2</v>
      </c>
      <c r="C70">
        <v>1.4E-2</v>
      </c>
      <c r="D70">
        <v>6.0000000000000001E-3</v>
      </c>
      <c r="E70">
        <v>6.0000000000000001E-3</v>
      </c>
      <c r="F70">
        <v>8.0000000000000002E-3</v>
      </c>
      <c r="G70">
        <v>1.2999999999999999E-2</v>
      </c>
      <c r="H70">
        <v>1.4E-2</v>
      </c>
      <c r="I70">
        <v>1.2999999999999999E-2</v>
      </c>
      <c r="J70">
        <v>0.12</v>
      </c>
      <c r="K70">
        <v>0.09</v>
      </c>
      <c r="L70">
        <v>138.22</v>
      </c>
      <c r="M70">
        <v>99.56</v>
      </c>
    </row>
    <row r="71" spans="1:13" x14ac:dyDescent="0.35">
      <c r="A71" t="s">
        <v>82</v>
      </c>
      <c r="B71">
        <v>1E-3</v>
      </c>
      <c r="C71">
        <v>0</v>
      </c>
      <c r="D71">
        <v>0</v>
      </c>
      <c r="E71">
        <v>0</v>
      </c>
      <c r="F71">
        <v>2E-3</v>
      </c>
      <c r="G71">
        <v>1E-3</v>
      </c>
      <c r="H71">
        <v>0</v>
      </c>
      <c r="I71">
        <v>1E-3</v>
      </c>
      <c r="J71">
        <v>4.0000000000000001E-3</v>
      </c>
      <c r="K71">
        <v>0</v>
      </c>
      <c r="L71">
        <v>138.22399999999999</v>
      </c>
      <c r="M71">
        <v>99.56</v>
      </c>
    </row>
    <row r="72" spans="1:13" x14ac:dyDescent="0.35">
      <c r="A72" t="s">
        <v>83</v>
      </c>
      <c r="B72">
        <v>6.0000000000000001E-3</v>
      </c>
      <c r="C72">
        <v>7.0000000000000001E-3</v>
      </c>
      <c r="D72">
        <v>7.0000000000000001E-3</v>
      </c>
      <c r="E72">
        <v>8.9999999999999993E-3</v>
      </c>
      <c r="F72">
        <v>8.0000000000000002E-3</v>
      </c>
      <c r="G72">
        <v>8.9999999999999993E-3</v>
      </c>
      <c r="H72">
        <v>1.0999999999999999E-2</v>
      </c>
      <c r="I72">
        <v>6.0000000000000001E-3</v>
      </c>
      <c r="J72">
        <v>6.4000000000000001E-2</v>
      </c>
      <c r="K72">
        <v>0.05</v>
      </c>
      <c r="L72">
        <v>138.28800000000001</v>
      </c>
      <c r="M72">
        <v>99.61</v>
      </c>
    </row>
    <row r="73" spans="1:13" x14ac:dyDescent="0.35">
      <c r="A73" t="s">
        <v>84</v>
      </c>
      <c r="B73">
        <v>4.0000000000000001E-3</v>
      </c>
      <c r="C73">
        <v>3.0000000000000001E-3</v>
      </c>
      <c r="D73">
        <v>8.0000000000000002E-3</v>
      </c>
      <c r="E73">
        <v>1.6E-2</v>
      </c>
      <c r="F73">
        <v>8.9999999999999993E-3</v>
      </c>
      <c r="G73">
        <v>8.0000000000000002E-3</v>
      </c>
      <c r="H73">
        <v>1.7999999999999999E-2</v>
      </c>
      <c r="I73">
        <v>1.9E-2</v>
      </c>
      <c r="J73">
        <v>8.5999999999999993E-2</v>
      </c>
      <c r="K73">
        <v>0.06</v>
      </c>
      <c r="L73">
        <v>138.374</v>
      </c>
      <c r="M73">
        <v>99.67</v>
      </c>
    </row>
    <row r="74" spans="1:13" x14ac:dyDescent="0.35">
      <c r="A74" t="s">
        <v>85</v>
      </c>
      <c r="B74">
        <v>1E-3</v>
      </c>
      <c r="C74">
        <v>1E-3</v>
      </c>
      <c r="D74">
        <v>1E-3</v>
      </c>
      <c r="E74">
        <v>2E-3</v>
      </c>
      <c r="F74">
        <v>4.0000000000000001E-3</v>
      </c>
      <c r="G74">
        <v>4.0000000000000001E-3</v>
      </c>
      <c r="H74">
        <v>3.0000000000000001E-3</v>
      </c>
      <c r="I74">
        <v>3.0000000000000001E-3</v>
      </c>
      <c r="J74">
        <v>1.7999999999999999E-2</v>
      </c>
      <c r="K74">
        <v>0.01</v>
      </c>
      <c r="L74">
        <v>138.392</v>
      </c>
      <c r="M74">
        <v>99.69</v>
      </c>
    </row>
    <row r="75" spans="1:13" x14ac:dyDescent="0.35">
      <c r="A75" t="s">
        <v>86</v>
      </c>
      <c r="B75">
        <v>2E-3</v>
      </c>
      <c r="C75">
        <v>2E-3</v>
      </c>
      <c r="D75">
        <v>2E-3</v>
      </c>
      <c r="E75">
        <v>2E-3</v>
      </c>
      <c r="F75">
        <v>2E-3</v>
      </c>
      <c r="G75">
        <v>3.0000000000000001E-3</v>
      </c>
      <c r="H75">
        <v>3.0000000000000001E-3</v>
      </c>
      <c r="I75">
        <v>2E-3</v>
      </c>
      <c r="J75">
        <v>1.7999999999999999E-2</v>
      </c>
      <c r="K75">
        <v>0.01</v>
      </c>
      <c r="L75">
        <v>138.41</v>
      </c>
      <c r="M75">
        <v>99.7</v>
      </c>
    </row>
    <row r="76" spans="1:13" x14ac:dyDescent="0.35">
      <c r="A76" t="s">
        <v>87</v>
      </c>
      <c r="B76">
        <v>1E-3</v>
      </c>
      <c r="C76">
        <v>1E-3</v>
      </c>
      <c r="D76">
        <v>2E-3</v>
      </c>
      <c r="E76">
        <v>2E-3</v>
      </c>
      <c r="F76">
        <v>3.0000000000000001E-3</v>
      </c>
      <c r="G76">
        <v>3.0000000000000001E-3</v>
      </c>
      <c r="H76">
        <v>3.0000000000000001E-3</v>
      </c>
      <c r="I76">
        <v>3.0000000000000001E-3</v>
      </c>
      <c r="J76">
        <v>1.7000000000000001E-2</v>
      </c>
      <c r="K76">
        <v>0.01</v>
      </c>
      <c r="L76">
        <v>138.42699999999999</v>
      </c>
      <c r="M76">
        <v>99.71</v>
      </c>
    </row>
    <row r="77" spans="1:13" x14ac:dyDescent="0.35">
      <c r="A77" t="s">
        <v>88</v>
      </c>
      <c r="B77">
        <v>1.0999999999999999E-2</v>
      </c>
      <c r="C77">
        <v>1.2E-2</v>
      </c>
      <c r="D77">
        <v>1.9E-2</v>
      </c>
      <c r="E77">
        <v>1.9E-2</v>
      </c>
      <c r="F77">
        <v>0.02</v>
      </c>
      <c r="G77">
        <v>0.02</v>
      </c>
      <c r="H77">
        <v>0.02</v>
      </c>
      <c r="I77">
        <v>1.6E-2</v>
      </c>
      <c r="J77">
        <v>0.13700000000000001</v>
      </c>
      <c r="K77">
        <v>0.1</v>
      </c>
      <c r="L77">
        <v>138.56299999999999</v>
      </c>
      <c r="M77">
        <v>99.81</v>
      </c>
    </row>
    <row r="78" spans="1:13" x14ac:dyDescent="0.35">
      <c r="A78" t="s">
        <v>89</v>
      </c>
      <c r="B78">
        <v>2E-3</v>
      </c>
      <c r="C78">
        <v>1E-3</v>
      </c>
      <c r="D78">
        <v>1E-3</v>
      </c>
      <c r="E78">
        <v>1E-3</v>
      </c>
      <c r="F78">
        <v>1E-3</v>
      </c>
      <c r="G78">
        <v>1E-3</v>
      </c>
      <c r="H78">
        <v>1E-3</v>
      </c>
      <c r="I78">
        <v>1E-3</v>
      </c>
      <c r="J78">
        <v>8.9999999999999993E-3</v>
      </c>
      <c r="K78">
        <v>0.01</v>
      </c>
      <c r="L78">
        <v>138.57300000000001</v>
      </c>
      <c r="M78">
        <v>99.82</v>
      </c>
    </row>
    <row r="79" spans="1:13" x14ac:dyDescent="0.35">
      <c r="A79" t="s">
        <v>90</v>
      </c>
      <c r="B79">
        <v>2E-3</v>
      </c>
      <c r="C79">
        <v>1E-3</v>
      </c>
      <c r="D79">
        <v>1E-3</v>
      </c>
      <c r="E79">
        <v>1E-3</v>
      </c>
      <c r="F79">
        <v>2E-3</v>
      </c>
      <c r="G79">
        <v>1E-3</v>
      </c>
      <c r="H79">
        <v>2E-3</v>
      </c>
      <c r="I79">
        <v>2E-3</v>
      </c>
      <c r="J79">
        <v>1.2999999999999999E-2</v>
      </c>
      <c r="K79">
        <v>0.01</v>
      </c>
      <c r="L79">
        <v>138.58600000000001</v>
      </c>
      <c r="M79">
        <v>99.82</v>
      </c>
    </row>
    <row r="80" spans="1:13" x14ac:dyDescent="0.35">
      <c r="A80" t="s">
        <v>91</v>
      </c>
      <c r="B80">
        <v>1.6E-2</v>
      </c>
      <c r="C80">
        <v>2.1000000000000001E-2</v>
      </c>
      <c r="D80">
        <v>2.1000000000000001E-2</v>
      </c>
      <c r="E80">
        <v>2.5999999999999999E-2</v>
      </c>
      <c r="F80">
        <v>2.8000000000000001E-2</v>
      </c>
      <c r="G80">
        <v>1.9E-2</v>
      </c>
      <c r="H80">
        <v>5.0000000000000001E-3</v>
      </c>
      <c r="I80">
        <v>5.0000000000000001E-3</v>
      </c>
      <c r="J80">
        <v>0.14099999999999999</v>
      </c>
      <c r="K80">
        <v>0.1</v>
      </c>
      <c r="L80">
        <v>138.726</v>
      </c>
      <c r="M80">
        <v>99.93</v>
      </c>
    </row>
    <row r="81" spans="1:13" x14ac:dyDescent="0.35">
      <c r="A81" t="s">
        <v>92</v>
      </c>
      <c r="B81">
        <v>0</v>
      </c>
      <c r="C81">
        <v>0</v>
      </c>
      <c r="D81">
        <v>0</v>
      </c>
      <c r="E81">
        <v>0</v>
      </c>
      <c r="F81">
        <v>1E-3</v>
      </c>
      <c r="G81">
        <v>1E-3</v>
      </c>
      <c r="H81">
        <v>1E-3</v>
      </c>
      <c r="I81">
        <v>1E-3</v>
      </c>
      <c r="J81">
        <v>4.0000000000000001E-3</v>
      </c>
      <c r="K81">
        <v>0</v>
      </c>
      <c r="L81">
        <v>138.72999999999999</v>
      </c>
      <c r="M81">
        <v>99.93</v>
      </c>
    </row>
    <row r="82" spans="1:13" x14ac:dyDescent="0.35">
      <c r="A82" t="s">
        <v>93</v>
      </c>
      <c r="B82">
        <v>1E-3</v>
      </c>
      <c r="C82">
        <v>1E-3</v>
      </c>
      <c r="D82">
        <v>1E-3</v>
      </c>
      <c r="E82">
        <v>1E-3</v>
      </c>
      <c r="F82">
        <v>1E-3</v>
      </c>
      <c r="G82">
        <v>0</v>
      </c>
      <c r="H82">
        <v>0</v>
      </c>
      <c r="I82">
        <v>0</v>
      </c>
      <c r="J82">
        <v>6.0000000000000001E-3</v>
      </c>
      <c r="K82">
        <v>0</v>
      </c>
      <c r="L82">
        <v>138.73599999999999</v>
      </c>
      <c r="M82">
        <v>99.93</v>
      </c>
    </row>
    <row r="83" spans="1:13" x14ac:dyDescent="0.35">
      <c r="A83" t="s">
        <v>94</v>
      </c>
      <c r="B83">
        <v>2E-3</v>
      </c>
      <c r="C83">
        <v>1E-3</v>
      </c>
      <c r="D83">
        <v>1E-3</v>
      </c>
      <c r="E83">
        <v>1E-3</v>
      </c>
      <c r="F83">
        <v>2E-3</v>
      </c>
      <c r="G83">
        <v>2E-3</v>
      </c>
      <c r="H83">
        <v>1E-3</v>
      </c>
      <c r="I83">
        <v>1E-3</v>
      </c>
      <c r="J83">
        <v>0.01</v>
      </c>
      <c r="K83">
        <v>0.01</v>
      </c>
      <c r="L83">
        <v>138.74600000000001</v>
      </c>
      <c r="M83">
        <v>99.94</v>
      </c>
    </row>
    <row r="84" spans="1:13" x14ac:dyDescent="0.35">
      <c r="A84" t="s">
        <v>95</v>
      </c>
      <c r="B84">
        <v>6.0000000000000001E-3</v>
      </c>
      <c r="C84">
        <v>5.0000000000000001E-3</v>
      </c>
      <c r="D84">
        <v>5.0000000000000001E-3</v>
      </c>
      <c r="E84">
        <v>6.0000000000000001E-3</v>
      </c>
      <c r="F84">
        <v>5.0000000000000001E-3</v>
      </c>
      <c r="G84">
        <v>5.0000000000000001E-3</v>
      </c>
      <c r="H84">
        <v>5.0000000000000001E-3</v>
      </c>
      <c r="I84">
        <v>3.0000000000000001E-3</v>
      </c>
      <c r="J84">
        <v>4.2000000000000003E-2</v>
      </c>
      <c r="K84">
        <v>0.03</v>
      </c>
      <c r="L84">
        <v>138.78700000000001</v>
      </c>
      <c r="M84">
        <v>99.97</v>
      </c>
    </row>
    <row r="85" spans="1:13" x14ac:dyDescent="0.35">
      <c r="A85" t="s">
        <v>96</v>
      </c>
      <c r="B85">
        <v>4.0000000000000001E-3</v>
      </c>
      <c r="C85">
        <v>4.0000000000000001E-3</v>
      </c>
      <c r="D85">
        <v>4.0000000000000001E-3</v>
      </c>
      <c r="E85">
        <v>4.0000000000000001E-3</v>
      </c>
      <c r="F85">
        <v>5.0000000000000001E-3</v>
      </c>
      <c r="G85">
        <v>5.0000000000000001E-3</v>
      </c>
      <c r="H85">
        <v>6.0000000000000001E-3</v>
      </c>
      <c r="I85">
        <v>7.0000000000000001E-3</v>
      </c>
      <c r="J85">
        <v>4.1000000000000002E-2</v>
      </c>
      <c r="K85">
        <v>0.03</v>
      </c>
      <c r="L85">
        <v>138.828</v>
      </c>
      <c r="M85">
        <v>100</v>
      </c>
    </row>
    <row r="86" spans="1:13" x14ac:dyDescent="0.35">
      <c r="A86" t="s">
        <v>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138.828</v>
      </c>
      <c r="M86">
        <v>100</v>
      </c>
    </row>
    <row r="87" spans="1:13" x14ac:dyDescent="0.35">
      <c r="A87" t="s">
        <v>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138.82900000000001</v>
      </c>
      <c r="M87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D169-525D-4333-962A-DB250C299FA0}">
  <dimension ref="A1:AE87"/>
  <sheetViews>
    <sheetView topLeftCell="A7" workbookViewId="0">
      <selection activeCell="B25" sqref="B25"/>
    </sheetView>
  </sheetViews>
  <sheetFormatPr defaultRowHeight="14.5" x14ac:dyDescent="0.35"/>
  <cols>
    <col min="1" max="1" width="9.26953125" bestFit="1" customWidth="1"/>
    <col min="2" max="2" width="9" bestFit="1" customWidth="1"/>
    <col min="3" max="10" width="10.1796875" bestFit="1" customWidth="1"/>
    <col min="11" max="11" width="10.453125" bestFit="1" customWidth="1"/>
    <col min="12" max="12" width="10.1796875" bestFit="1" customWidth="1"/>
    <col min="13" max="13" width="15.7265625" bestFit="1" customWidth="1"/>
    <col min="14" max="14" width="20.81640625" bestFit="1" customWidth="1"/>
    <col min="18" max="18" width="9.26953125" bestFit="1" customWidth="1"/>
    <col min="19" max="19" width="9" bestFit="1" customWidth="1"/>
    <col min="20" max="27" width="16.81640625" bestFit="1" customWidth="1"/>
    <col min="28" max="28" width="17.1796875" bestFit="1" customWidth="1"/>
    <col min="29" max="29" width="10.1796875" bestFit="1" customWidth="1"/>
    <col min="30" max="30" width="22.453125" bestFit="1" customWidth="1"/>
    <col min="31" max="31" width="20.81640625" bestFit="1" customWidth="1"/>
  </cols>
  <sheetData>
    <row r="1" spans="1:31" x14ac:dyDescent="0.35">
      <c r="A1" s="1" t="s">
        <v>0</v>
      </c>
      <c r="B1" s="2" t="s">
        <v>120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R1" s="1" t="s">
        <v>0</v>
      </c>
      <c r="S1" s="2" t="s">
        <v>120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</v>
      </c>
      <c r="AD1" s="1" t="s">
        <v>108</v>
      </c>
      <c r="AE1" s="1" t="s">
        <v>12</v>
      </c>
    </row>
    <row r="2" spans="1:31" x14ac:dyDescent="0.35">
      <c r="A2" t="s">
        <v>13</v>
      </c>
      <c r="B2" t="str">
        <f>VLOOKUP(A2,$R$2:$R$29,1,0)</f>
        <v>N06</v>
      </c>
      <c r="C2">
        <v>7.1999999999999995E-2</v>
      </c>
      <c r="D2">
        <v>7.6999999999999999E-2</v>
      </c>
      <c r="E2">
        <v>8.1000000000000003E-2</v>
      </c>
      <c r="F2">
        <v>9.2999999999999999E-2</v>
      </c>
      <c r="G2">
        <v>0.111</v>
      </c>
      <c r="H2">
        <v>0.122</v>
      </c>
      <c r="I2">
        <v>0.126</v>
      </c>
      <c r="J2">
        <v>0.113</v>
      </c>
      <c r="K2">
        <v>0.79500000000000004</v>
      </c>
      <c r="L2">
        <v>9.57</v>
      </c>
      <c r="M2">
        <v>0.79500000000000004</v>
      </c>
      <c r="N2">
        <v>9.57</v>
      </c>
      <c r="R2" t="s">
        <v>13</v>
      </c>
      <c r="S2" t="str">
        <f>VLOOKUP(R2,$A$2:$A$23,1,0)</f>
        <v>N06</v>
      </c>
      <c r="T2">
        <v>1.8959999999999999</v>
      </c>
      <c r="U2">
        <v>1.978</v>
      </c>
      <c r="V2">
        <v>2.0459999999999998</v>
      </c>
      <c r="W2">
        <v>2.2400000000000002</v>
      </c>
      <c r="X2">
        <v>2.58</v>
      </c>
      <c r="Y2">
        <v>2.8090000000000002</v>
      </c>
      <c r="Z2">
        <v>2.83</v>
      </c>
      <c r="AA2">
        <v>2.4870000000000001</v>
      </c>
      <c r="AB2">
        <v>18.864000000000001</v>
      </c>
      <c r="AC2">
        <v>13.59</v>
      </c>
      <c r="AD2">
        <v>18.864000000000001</v>
      </c>
      <c r="AE2">
        <v>13.59</v>
      </c>
    </row>
    <row r="3" spans="1:31" x14ac:dyDescent="0.35">
      <c r="A3" t="s">
        <v>14</v>
      </c>
      <c r="B3" t="str">
        <f t="shared" ref="B3:B23" si="0">VLOOKUP(A3,$R$2:$R$29,1,0)</f>
        <v>N02</v>
      </c>
      <c r="C3">
        <v>7.9000000000000001E-2</v>
      </c>
      <c r="D3">
        <v>7.1999999999999995E-2</v>
      </c>
      <c r="E3">
        <v>7.0000000000000007E-2</v>
      </c>
      <c r="F3">
        <v>8.2000000000000003E-2</v>
      </c>
      <c r="G3">
        <v>9.7000000000000003E-2</v>
      </c>
      <c r="H3">
        <v>0.106</v>
      </c>
      <c r="I3">
        <v>0.104</v>
      </c>
      <c r="J3">
        <v>9.7000000000000003E-2</v>
      </c>
      <c r="K3">
        <v>0.70699999999999996</v>
      </c>
      <c r="L3">
        <v>8.51</v>
      </c>
      <c r="M3">
        <v>1.502</v>
      </c>
      <c r="N3">
        <v>18.079999999999998</v>
      </c>
      <c r="R3" t="s">
        <v>14</v>
      </c>
      <c r="S3" t="str">
        <f t="shared" ref="S3:S29" si="1">VLOOKUP(R3,$A$2:$A$23,1,0)</f>
        <v>N02</v>
      </c>
      <c r="T3">
        <v>1.1919999999999999</v>
      </c>
      <c r="U3">
        <v>1.014</v>
      </c>
      <c r="V3">
        <v>0.94299999999999995</v>
      </c>
      <c r="W3">
        <v>1.1879999999999999</v>
      </c>
      <c r="X3">
        <v>1.44</v>
      </c>
      <c r="Y3">
        <v>1.637</v>
      </c>
      <c r="Z3">
        <v>1.7330000000000001</v>
      </c>
      <c r="AA3">
        <v>1.5920000000000001</v>
      </c>
      <c r="AB3">
        <v>10.739000000000001</v>
      </c>
      <c r="AC3">
        <v>7.74</v>
      </c>
      <c r="AD3">
        <v>29.603999999999999</v>
      </c>
      <c r="AE3">
        <v>21.32</v>
      </c>
    </row>
    <row r="4" spans="1:31" x14ac:dyDescent="0.35">
      <c r="A4" t="s">
        <v>15</v>
      </c>
      <c r="B4" t="str">
        <f t="shared" si="0"/>
        <v>A06</v>
      </c>
      <c r="C4">
        <v>3.9E-2</v>
      </c>
      <c r="D4">
        <v>5.3999999999999999E-2</v>
      </c>
      <c r="E4">
        <v>7.0999999999999994E-2</v>
      </c>
      <c r="F4">
        <v>9.0999999999999998E-2</v>
      </c>
      <c r="G4">
        <v>0.09</v>
      </c>
      <c r="H4">
        <v>7.8E-2</v>
      </c>
      <c r="I4">
        <v>8.2000000000000003E-2</v>
      </c>
      <c r="J4">
        <v>8.7999999999999995E-2</v>
      </c>
      <c r="K4">
        <v>0.59199999999999997</v>
      </c>
      <c r="L4">
        <v>7.12</v>
      </c>
      <c r="M4">
        <v>2.093</v>
      </c>
      <c r="N4">
        <v>25.2</v>
      </c>
      <c r="R4" t="s">
        <v>15</v>
      </c>
      <c r="S4" t="str">
        <f t="shared" si="1"/>
        <v>A06</v>
      </c>
      <c r="T4">
        <v>0.192</v>
      </c>
      <c r="U4">
        <v>0.20399999999999999</v>
      </c>
      <c r="V4">
        <v>0.29599999999999999</v>
      </c>
      <c r="W4">
        <v>0.33700000000000002</v>
      </c>
      <c r="X4">
        <v>0.47799999999999998</v>
      </c>
      <c r="Y4">
        <v>0.44900000000000001</v>
      </c>
      <c r="Z4">
        <v>0.43</v>
      </c>
      <c r="AA4">
        <v>0.54600000000000004</v>
      </c>
      <c r="AB4">
        <v>2.9319999999999999</v>
      </c>
      <c r="AC4">
        <v>2.11</v>
      </c>
      <c r="AD4">
        <v>32.536000000000001</v>
      </c>
      <c r="AE4">
        <v>23.44</v>
      </c>
    </row>
    <row r="5" spans="1:31" x14ac:dyDescent="0.35">
      <c r="A5" t="s">
        <v>16</v>
      </c>
      <c r="B5" t="str">
        <f t="shared" si="0"/>
        <v>N05</v>
      </c>
      <c r="C5">
        <v>4.7E-2</v>
      </c>
      <c r="D5">
        <v>4.9000000000000002E-2</v>
      </c>
      <c r="E5">
        <v>5.0999999999999997E-2</v>
      </c>
      <c r="F5">
        <v>6.2E-2</v>
      </c>
      <c r="G5">
        <v>7.0999999999999994E-2</v>
      </c>
      <c r="H5">
        <v>7.5999999999999998E-2</v>
      </c>
      <c r="I5">
        <v>7.8E-2</v>
      </c>
      <c r="J5">
        <v>7.1999999999999995E-2</v>
      </c>
      <c r="K5">
        <v>0.50700000000000001</v>
      </c>
      <c r="L5">
        <v>6.1</v>
      </c>
      <c r="M5">
        <v>2.6</v>
      </c>
      <c r="N5">
        <v>31.3</v>
      </c>
      <c r="R5" t="s">
        <v>16</v>
      </c>
      <c r="S5" t="str">
        <f t="shared" si="1"/>
        <v>N05</v>
      </c>
      <c r="T5">
        <v>0.94699999999999995</v>
      </c>
      <c r="U5">
        <v>1.0149999999999999</v>
      </c>
      <c r="V5">
        <v>1.0349999999999999</v>
      </c>
      <c r="W5">
        <v>1.2410000000000001</v>
      </c>
      <c r="X5">
        <v>1.4219999999999999</v>
      </c>
      <c r="Y5">
        <v>1.528</v>
      </c>
      <c r="Z5">
        <v>1.548</v>
      </c>
      <c r="AA5">
        <v>1.377</v>
      </c>
      <c r="AB5">
        <v>10.113</v>
      </c>
      <c r="AC5">
        <v>7.28</v>
      </c>
      <c r="AD5">
        <v>42.649000000000001</v>
      </c>
      <c r="AE5">
        <v>30.72</v>
      </c>
    </row>
    <row r="6" spans="1:31" x14ac:dyDescent="0.35">
      <c r="A6" t="s">
        <v>17</v>
      </c>
      <c r="B6" t="str">
        <f t="shared" si="0"/>
        <v>J01</v>
      </c>
      <c r="C6">
        <v>5.8000000000000003E-2</v>
      </c>
      <c r="D6">
        <v>5.5E-2</v>
      </c>
      <c r="E6">
        <v>5.8000000000000003E-2</v>
      </c>
      <c r="F6">
        <v>4.2000000000000003E-2</v>
      </c>
      <c r="G6">
        <v>4.8000000000000001E-2</v>
      </c>
      <c r="H6">
        <v>5.8999999999999997E-2</v>
      </c>
      <c r="I6">
        <v>7.0000000000000007E-2</v>
      </c>
      <c r="J6">
        <v>6.7000000000000004E-2</v>
      </c>
      <c r="K6">
        <v>0.45700000000000002</v>
      </c>
      <c r="L6">
        <v>5.5</v>
      </c>
      <c r="M6">
        <v>3.0569999999999999</v>
      </c>
      <c r="N6">
        <v>36.81</v>
      </c>
      <c r="R6" t="s">
        <v>17</v>
      </c>
      <c r="S6" t="str">
        <f t="shared" si="1"/>
        <v>J01</v>
      </c>
      <c r="T6">
        <v>0.92700000000000005</v>
      </c>
      <c r="U6">
        <v>0.88600000000000001</v>
      </c>
      <c r="V6">
        <v>0.97299999999999998</v>
      </c>
      <c r="W6">
        <v>0.78500000000000003</v>
      </c>
      <c r="X6">
        <v>0.93400000000000005</v>
      </c>
      <c r="Y6">
        <v>1.0409999999999999</v>
      </c>
      <c r="Z6">
        <v>1.2010000000000001</v>
      </c>
      <c r="AA6">
        <v>1.139</v>
      </c>
      <c r="AB6">
        <v>7.8869999999999996</v>
      </c>
      <c r="AC6">
        <v>5.68</v>
      </c>
      <c r="AD6">
        <v>50.536000000000001</v>
      </c>
      <c r="AE6">
        <v>36.4</v>
      </c>
    </row>
    <row r="7" spans="1:31" x14ac:dyDescent="0.35">
      <c r="A7" t="s">
        <v>18</v>
      </c>
      <c r="B7" t="str">
        <f t="shared" si="0"/>
        <v>B05</v>
      </c>
      <c r="C7">
        <v>5.8999999999999997E-2</v>
      </c>
      <c r="D7">
        <v>5.8000000000000003E-2</v>
      </c>
      <c r="E7">
        <v>1.9E-2</v>
      </c>
      <c r="F7">
        <v>4.2999999999999997E-2</v>
      </c>
      <c r="G7">
        <v>5.8999999999999997E-2</v>
      </c>
      <c r="H7">
        <v>0.105</v>
      </c>
      <c r="I7">
        <v>3.3000000000000002E-2</v>
      </c>
      <c r="J7">
        <v>6.7000000000000004E-2</v>
      </c>
      <c r="K7">
        <v>0.443</v>
      </c>
      <c r="L7">
        <v>5.33</v>
      </c>
      <c r="M7">
        <v>3.5</v>
      </c>
      <c r="N7">
        <v>42.14</v>
      </c>
      <c r="R7" t="s">
        <v>18</v>
      </c>
      <c r="S7" t="str">
        <f t="shared" si="1"/>
        <v>B05</v>
      </c>
      <c r="T7">
        <v>7.6999999999999999E-2</v>
      </c>
      <c r="U7">
        <v>9.0999999999999998E-2</v>
      </c>
      <c r="V7">
        <v>0.03</v>
      </c>
      <c r="W7">
        <v>5.5E-2</v>
      </c>
      <c r="X7">
        <v>0.11899999999999999</v>
      </c>
      <c r="Y7">
        <v>0.14499999999999999</v>
      </c>
      <c r="Z7">
        <v>5.0999999999999997E-2</v>
      </c>
      <c r="AA7">
        <v>0.106</v>
      </c>
      <c r="AB7">
        <v>0.67500000000000004</v>
      </c>
      <c r="AC7">
        <v>0.49</v>
      </c>
      <c r="AD7">
        <v>51.210999999999999</v>
      </c>
      <c r="AE7">
        <v>36.89</v>
      </c>
    </row>
    <row r="8" spans="1:31" x14ac:dyDescent="0.35">
      <c r="A8" t="s">
        <v>19</v>
      </c>
      <c r="B8" t="str">
        <f t="shared" si="0"/>
        <v>N03</v>
      </c>
      <c r="C8">
        <v>4.5999999999999999E-2</v>
      </c>
      <c r="D8">
        <v>0.05</v>
      </c>
      <c r="E8">
        <v>5.0999999999999997E-2</v>
      </c>
      <c r="F8">
        <v>5.6000000000000001E-2</v>
      </c>
      <c r="G8">
        <v>5.8999999999999997E-2</v>
      </c>
      <c r="H8">
        <v>0.06</v>
      </c>
      <c r="I8">
        <v>6.2E-2</v>
      </c>
      <c r="J8">
        <v>5.8999999999999997E-2</v>
      </c>
      <c r="K8">
        <v>0.443</v>
      </c>
      <c r="L8">
        <v>5.33</v>
      </c>
      <c r="M8">
        <v>3.9430000000000001</v>
      </c>
      <c r="N8">
        <v>47.47</v>
      </c>
      <c r="R8" t="s">
        <v>19</v>
      </c>
      <c r="S8" t="str">
        <f t="shared" si="1"/>
        <v>N03</v>
      </c>
      <c r="T8">
        <v>0.502</v>
      </c>
      <c r="U8">
        <v>0.53600000000000003</v>
      </c>
      <c r="V8">
        <v>0.53800000000000003</v>
      </c>
      <c r="W8">
        <v>0.6</v>
      </c>
      <c r="X8">
        <v>0.63700000000000001</v>
      </c>
      <c r="Y8">
        <v>0.64100000000000001</v>
      </c>
      <c r="Z8">
        <v>0.63</v>
      </c>
      <c r="AA8">
        <v>0.57099999999999995</v>
      </c>
      <c r="AB8">
        <v>4.6559999999999997</v>
      </c>
      <c r="AC8">
        <v>3.35</v>
      </c>
      <c r="AD8">
        <v>55.866999999999997</v>
      </c>
      <c r="AE8">
        <v>40.24</v>
      </c>
    </row>
    <row r="9" spans="1:31" x14ac:dyDescent="0.35">
      <c r="A9" t="s">
        <v>20</v>
      </c>
      <c r="B9" t="str">
        <f t="shared" si="0"/>
        <v>R03</v>
      </c>
      <c r="C9">
        <v>4.3999999999999997E-2</v>
      </c>
      <c r="D9">
        <v>4.9000000000000002E-2</v>
      </c>
      <c r="E9">
        <v>4.8000000000000001E-2</v>
      </c>
      <c r="F9">
        <v>5.1999999999999998E-2</v>
      </c>
      <c r="G9">
        <v>5.1999999999999998E-2</v>
      </c>
      <c r="H9">
        <v>5.2999999999999999E-2</v>
      </c>
      <c r="I9">
        <v>5.2999999999999999E-2</v>
      </c>
      <c r="J9">
        <v>4.4999999999999998E-2</v>
      </c>
      <c r="K9">
        <v>0.39800000000000002</v>
      </c>
      <c r="L9">
        <v>4.79</v>
      </c>
      <c r="M9">
        <v>4.34</v>
      </c>
      <c r="N9">
        <v>52.26</v>
      </c>
      <c r="R9" t="s">
        <v>20</v>
      </c>
      <c r="S9" t="str">
        <f t="shared" si="1"/>
        <v>R03</v>
      </c>
      <c r="T9">
        <v>0.751</v>
      </c>
      <c r="U9">
        <v>0.84399999999999997</v>
      </c>
      <c r="V9">
        <v>0.88200000000000001</v>
      </c>
      <c r="W9">
        <v>0.97799999999999998</v>
      </c>
      <c r="X9">
        <v>1.0609999999999999</v>
      </c>
      <c r="Y9">
        <v>1.1000000000000001</v>
      </c>
      <c r="Z9">
        <v>1.1579999999999999</v>
      </c>
      <c r="AA9">
        <v>0.92800000000000005</v>
      </c>
      <c r="AB9">
        <v>7.7009999999999996</v>
      </c>
      <c r="AC9">
        <v>5.55</v>
      </c>
      <c r="AD9">
        <v>63.567999999999998</v>
      </c>
      <c r="AE9">
        <v>45.79</v>
      </c>
    </row>
    <row r="10" spans="1:31" x14ac:dyDescent="0.35">
      <c r="A10" t="s">
        <v>21</v>
      </c>
      <c r="B10" t="str">
        <f t="shared" si="0"/>
        <v>A12</v>
      </c>
      <c r="C10">
        <v>2.7E-2</v>
      </c>
      <c r="D10">
        <v>1.2E-2</v>
      </c>
      <c r="E10">
        <v>5.5E-2</v>
      </c>
      <c r="F10">
        <v>2.1999999999999999E-2</v>
      </c>
      <c r="G10">
        <v>1.7000000000000001E-2</v>
      </c>
      <c r="H10">
        <v>1.2999999999999999E-2</v>
      </c>
      <c r="I10">
        <v>9.8000000000000004E-2</v>
      </c>
      <c r="J10">
        <v>4.1000000000000002E-2</v>
      </c>
      <c r="K10">
        <v>0.28599999999999998</v>
      </c>
      <c r="L10">
        <v>3.44</v>
      </c>
      <c r="M10">
        <v>4.6260000000000003</v>
      </c>
      <c r="N10">
        <v>55.7</v>
      </c>
      <c r="R10" t="s">
        <v>21</v>
      </c>
      <c r="S10" t="str">
        <f t="shared" si="1"/>
        <v>A12</v>
      </c>
      <c r="T10">
        <v>7.0000000000000007E-2</v>
      </c>
      <c r="U10">
        <v>3.6999999999999998E-2</v>
      </c>
      <c r="V10">
        <v>0.09</v>
      </c>
      <c r="W10">
        <v>8.1000000000000003E-2</v>
      </c>
      <c r="X10">
        <v>5.1999999999999998E-2</v>
      </c>
      <c r="Y10">
        <v>3.5000000000000003E-2</v>
      </c>
      <c r="Z10">
        <v>0.154</v>
      </c>
      <c r="AA10">
        <v>6.9000000000000006E-2</v>
      </c>
      <c r="AB10">
        <v>0.58699999999999997</v>
      </c>
      <c r="AC10">
        <v>0.42</v>
      </c>
      <c r="AD10">
        <v>64.155000000000001</v>
      </c>
      <c r="AE10">
        <v>46.21</v>
      </c>
    </row>
    <row r="11" spans="1:31" x14ac:dyDescent="0.35">
      <c r="A11" t="s">
        <v>22</v>
      </c>
      <c r="B11" t="str">
        <f t="shared" si="0"/>
        <v>A10</v>
      </c>
      <c r="C11">
        <v>2.4E-2</v>
      </c>
      <c r="D11">
        <v>2.5999999999999999E-2</v>
      </c>
      <c r="E11">
        <v>2.8000000000000001E-2</v>
      </c>
      <c r="F11">
        <v>3.3000000000000002E-2</v>
      </c>
      <c r="G11">
        <v>3.9E-2</v>
      </c>
      <c r="H11">
        <v>4.2000000000000003E-2</v>
      </c>
      <c r="I11">
        <v>4.2999999999999997E-2</v>
      </c>
      <c r="J11">
        <v>3.7999999999999999E-2</v>
      </c>
      <c r="K11">
        <v>0.27300000000000002</v>
      </c>
      <c r="L11">
        <v>3.28</v>
      </c>
      <c r="M11">
        <v>4.899</v>
      </c>
      <c r="N11">
        <v>58.98</v>
      </c>
      <c r="R11" t="s">
        <v>22</v>
      </c>
      <c r="S11" t="str">
        <f t="shared" si="1"/>
        <v>A10</v>
      </c>
      <c r="T11">
        <v>0.54900000000000004</v>
      </c>
      <c r="U11">
        <v>0.57099999999999995</v>
      </c>
      <c r="V11">
        <v>0.58899999999999997</v>
      </c>
      <c r="W11">
        <v>0.63600000000000001</v>
      </c>
      <c r="X11">
        <v>0.73299999999999998</v>
      </c>
      <c r="Y11">
        <v>0.82399999999999995</v>
      </c>
      <c r="Z11">
        <v>0.86599999999999999</v>
      </c>
      <c r="AA11">
        <v>0.75700000000000001</v>
      </c>
      <c r="AB11">
        <v>5.5259999999999998</v>
      </c>
      <c r="AC11">
        <v>3.98</v>
      </c>
      <c r="AD11">
        <v>69.680999999999997</v>
      </c>
      <c r="AE11">
        <v>50.19</v>
      </c>
    </row>
    <row r="12" spans="1:31" x14ac:dyDescent="0.35">
      <c r="A12" t="s">
        <v>23</v>
      </c>
      <c r="B12" t="str">
        <f t="shared" si="0"/>
        <v>A02</v>
      </c>
      <c r="C12">
        <v>0.02</v>
      </c>
      <c r="D12">
        <v>0.02</v>
      </c>
      <c r="E12">
        <v>2.1999999999999999E-2</v>
      </c>
      <c r="F12">
        <v>2.5000000000000001E-2</v>
      </c>
      <c r="G12">
        <v>3.3000000000000002E-2</v>
      </c>
      <c r="H12">
        <v>3.5000000000000003E-2</v>
      </c>
      <c r="I12">
        <v>3.9E-2</v>
      </c>
      <c r="J12">
        <v>0.03</v>
      </c>
      <c r="K12">
        <v>0.223</v>
      </c>
      <c r="L12">
        <v>2.69</v>
      </c>
      <c r="M12">
        <v>5.1219999999999999</v>
      </c>
      <c r="N12">
        <v>61.67</v>
      </c>
      <c r="R12" t="s">
        <v>23</v>
      </c>
      <c r="S12" t="str">
        <f t="shared" si="1"/>
        <v>A02</v>
      </c>
      <c r="T12">
        <v>0.39600000000000002</v>
      </c>
      <c r="U12">
        <v>0.40300000000000002</v>
      </c>
      <c r="V12">
        <v>0.39800000000000002</v>
      </c>
      <c r="W12">
        <v>0.436</v>
      </c>
      <c r="X12">
        <v>0.55100000000000005</v>
      </c>
      <c r="Y12">
        <v>0.65300000000000002</v>
      </c>
      <c r="Z12">
        <v>0.66600000000000004</v>
      </c>
      <c r="AA12">
        <v>0.54300000000000004</v>
      </c>
      <c r="AB12">
        <v>4.0460000000000003</v>
      </c>
      <c r="AC12">
        <v>2.91</v>
      </c>
      <c r="AD12">
        <v>73.727000000000004</v>
      </c>
      <c r="AE12">
        <v>53.11</v>
      </c>
    </row>
    <row r="13" spans="1:31" x14ac:dyDescent="0.35">
      <c r="A13" t="s">
        <v>24</v>
      </c>
      <c r="B13" t="str">
        <f t="shared" si="0"/>
        <v>C07</v>
      </c>
      <c r="C13">
        <v>1.7000000000000001E-2</v>
      </c>
      <c r="D13">
        <v>0.02</v>
      </c>
      <c r="E13">
        <v>2.1000000000000001E-2</v>
      </c>
      <c r="F13">
        <v>2.4E-2</v>
      </c>
      <c r="G13">
        <v>2.9000000000000001E-2</v>
      </c>
      <c r="H13">
        <v>3.1E-2</v>
      </c>
      <c r="I13">
        <v>3.1E-2</v>
      </c>
      <c r="J13">
        <v>2.8000000000000001E-2</v>
      </c>
      <c r="K13">
        <v>0.2</v>
      </c>
      <c r="L13">
        <v>2.41</v>
      </c>
      <c r="M13">
        <v>5.3220000000000001</v>
      </c>
      <c r="N13">
        <v>64.08</v>
      </c>
      <c r="R13" t="s">
        <v>24</v>
      </c>
      <c r="S13" t="str">
        <f t="shared" si="1"/>
        <v>C07</v>
      </c>
      <c r="T13">
        <v>0.29899999999999999</v>
      </c>
      <c r="U13">
        <v>0.31900000000000001</v>
      </c>
      <c r="V13">
        <v>0.32200000000000001</v>
      </c>
      <c r="W13">
        <v>0.35899999999999999</v>
      </c>
      <c r="X13">
        <v>0.39700000000000002</v>
      </c>
      <c r="Y13">
        <v>0.43</v>
      </c>
      <c r="Z13">
        <v>0.42099999999999999</v>
      </c>
      <c r="AA13">
        <v>0.36</v>
      </c>
      <c r="AB13">
        <v>2.907</v>
      </c>
      <c r="AC13">
        <v>2.09</v>
      </c>
      <c r="AD13">
        <v>76.632999999999996</v>
      </c>
      <c r="AE13">
        <v>55.2</v>
      </c>
    </row>
    <row r="14" spans="1:31" x14ac:dyDescent="0.35">
      <c r="A14" t="s">
        <v>25</v>
      </c>
      <c r="B14" t="str">
        <f t="shared" si="0"/>
        <v>R06</v>
      </c>
      <c r="C14">
        <v>2.7E-2</v>
      </c>
      <c r="D14">
        <v>0.02</v>
      </c>
      <c r="E14">
        <v>2.4E-2</v>
      </c>
      <c r="F14">
        <v>2.3E-2</v>
      </c>
      <c r="G14">
        <v>0.03</v>
      </c>
      <c r="H14">
        <v>2.5999999999999999E-2</v>
      </c>
      <c r="I14">
        <v>2.8000000000000001E-2</v>
      </c>
      <c r="J14">
        <v>2.1000000000000001E-2</v>
      </c>
      <c r="K14">
        <v>0.19900000000000001</v>
      </c>
      <c r="L14">
        <v>2.39</v>
      </c>
      <c r="M14">
        <v>5.5209999999999999</v>
      </c>
      <c r="N14">
        <v>66.48</v>
      </c>
      <c r="R14" t="s">
        <v>25</v>
      </c>
      <c r="S14" t="str">
        <f t="shared" si="1"/>
        <v>R06</v>
      </c>
      <c r="T14">
        <v>0.47</v>
      </c>
      <c r="U14">
        <v>0.377</v>
      </c>
      <c r="V14">
        <v>0.43099999999999999</v>
      </c>
      <c r="W14">
        <v>0.45200000000000001</v>
      </c>
      <c r="X14">
        <v>0.57899999999999996</v>
      </c>
      <c r="Y14">
        <v>0.55400000000000005</v>
      </c>
      <c r="Z14">
        <v>0.56899999999999995</v>
      </c>
      <c r="AA14">
        <v>0.44900000000000001</v>
      </c>
      <c r="AB14">
        <v>3.8809999999999998</v>
      </c>
      <c r="AC14">
        <v>2.8</v>
      </c>
      <c r="AD14">
        <v>80.513999999999996</v>
      </c>
      <c r="AE14">
        <v>58</v>
      </c>
    </row>
    <row r="15" spans="1:31" x14ac:dyDescent="0.35">
      <c r="A15" t="s">
        <v>26</v>
      </c>
      <c r="B15" t="str">
        <f t="shared" si="0"/>
        <v>C10</v>
      </c>
      <c r="C15">
        <v>1.6E-2</v>
      </c>
      <c r="D15">
        <v>1.7999999999999999E-2</v>
      </c>
      <c r="E15">
        <v>0.02</v>
      </c>
      <c r="F15">
        <v>2.3E-2</v>
      </c>
      <c r="G15">
        <v>2.8000000000000001E-2</v>
      </c>
      <c r="H15">
        <v>3.1E-2</v>
      </c>
      <c r="I15">
        <v>3.2000000000000001E-2</v>
      </c>
      <c r="J15">
        <v>2.9000000000000001E-2</v>
      </c>
      <c r="K15">
        <v>0.19900000000000001</v>
      </c>
      <c r="L15">
        <v>2.39</v>
      </c>
      <c r="M15">
        <v>5.72</v>
      </c>
      <c r="N15">
        <v>68.87</v>
      </c>
      <c r="R15" t="s">
        <v>26</v>
      </c>
      <c r="S15" t="str">
        <f t="shared" si="1"/>
        <v>C10</v>
      </c>
      <c r="T15">
        <v>0.40500000000000003</v>
      </c>
      <c r="U15">
        <v>0.41699999999999998</v>
      </c>
      <c r="V15">
        <v>0.41599999999999998</v>
      </c>
      <c r="W15">
        <v>0.435</v>
      </c>
      <c r="X15">
        <v>0.50600000000000001</v>
      </c>
      <c r="Y15">
        <v>0.55200000000000005</v>
      </c>
      <c r="Z15">
        <v>0.54400000000000004</v>
      </c>
      <c r="AA15">
        <v>0.48</v>
      </c>
      <c r="AB15">
        <v>3.7559999999999998</v>
      </c>
      <c r="AC15">
        <v>2.71</v>
      </c>
      <c r="AD15">
        <v>84.27</v>
      </c>
      <c r="AE15">
        <v>60.7</v>
      </c>
    </row>
    <row r="16" spans="1:31" x14ac:dyDescent="0.35">
      <c r="A16" t="s">
        <v>27</v>
      </c>
      <c r="B16" t="str">
        <f t="shared" si="0"/>
        <v>C09</v>
      </c>
      <c r="C16">
        <v>1.6E-2</v>
      </c>
      <c r="D16">
        <v>1.7000000000000001E-2</v>
      </c>
      <c r="E16">
        <v>1.7999999999999999E-2</v>
      </c>
      <c r="F16">
        <v>0.02</v>
      </c>
      <c r="G16">
        <v>2.4E-2</v>
      </c>
      <c r="H16">
        <v>2.8000000000000001E-2</v>
      </c>
      <c r="I16">
        <v>2.9000000000000001E-2</v>
      </c>
      <c r="J16">
        <v>2.4E-2</v>
      </c>
      <c r="K16">
        <v>0.17699999999999999</v>
      </c>
      <c r="L16">
        <v>2.13</v>
      </c>
      <c r="M16">
        <v>5.8959999999999999</v>
      </c>
      <c r="N16">
        <v>70.989999999999995</v>
      </c>
      <c r="R16" t="s">
        <v>27</v>
      </c>
      <c r="S16" t="str">
        <f t="shared" si="1"/>
        <v>C09</v>
      </c>
      <c r="T16">
        <v>0.42099999999999999</v>
      </c>
      <c r="U16">
        <v>0.40699999999999997</v>
      </c>
      <c r="V16">
        <v>0.38</v>
      </c>
      <c r="W16">
        <v>0.39300000000000002</v>
      </c>
      <c r="X16">
        <v>0.442</v>
      </c>
      <c r="Y16">
        <v>0.51100000000000001</v>
      </c>
      <c r="Z16">
        <v>0.49399999999999999</v>
      </c>
      <c r="AA16">
        <v>0.4</v>
      </c>
      <c r="AB16">
        <v>3.4489999999999998</v>
      </c>
      <c r="AC16">
        <v>2.48</v>
      </c>
      <c r="AD16">
        <v>87.718999999999994</v>
      </c>
      <c r="AE16">
        <v>63.18</v>
      </c>
    </row>
    <row r="17" spans="1:31" x14ac:dyDescent="0.35">
      <c r="A17" t="s">
        <v>28</v>
      </c>
      <c r="B17" t="str">
        <f t="shared" si="0"/>
        <v>M03</v>
      </c>
      <c r="C17">
        <v>1.7000000000000001E-2</v>
      </c>
      <c r="D17">
        <v>1.7999999999999999E-2</v>
      </c>
      <c r="E17">
        <v>1.9E-2</v>
      </c>
      <c r="F17">
        <v>0.02</v>
      </c>
      <c r="G17">
        <v>2.1999999999999999E-2</v>
      </c>
      <c r="H17">
        <v>2.4E-2</v>
      </c>
      <c r="I17">
        <v>2.4E-2</v>
      </c>
      <c r="J17">
        <v>2.1000000000000001E-2</v>
      </c>
      <c r="K17">
        <v>0.16500000000000001</v>
      </c>
      <c r="L17">
        <v>1.99</v>
      </c>
      <c r="M17">
        <v>6.0620000000000003</v>
      </c>
      <c r="N17">
        <v>72.98</v>
      </c>
      <c r="R17" t="s">
        <v>28</v>
      </c>
      <c r="S17" t="str">
        <f t="shared" si="1"/>
        <v>M03</v>
      </c>
      <c r="T17">
        <v>0.27900000000000003</v>
      </c>
      <c r="U17">
        <v>0.29299999999999998</v>
      </c>
      <c r="V17">
        <v>0.3</v>
      </c>
      <c r="W17">
        <v>0.31900000000000001</v>
      </c>
      <c r="X17">
        <v>0.36299999999999999</v>
      </c>
      <c r="Y17">
        <v>0.39200000000000002</v>
      </c>
      <c r="Z17">
        <v>0.39700000000000002</v>
      </c>
      <c r="AA17">
        <v>0.35399999999999998</v>
      </c>
      <c r="AB17">
        <v>2.6970000000000001</v>
      </c>
      <c r="AC17">
        <v>1.94</v>
      </c>
      <c r="AD17">
        <v>90.415999999999997</v>
      </c>
      <c r="AE17">
        <v>65.13</v>
      </c>
    </row>
    <row r="18" spans="1:31" x14ac:dyDescent="0.35">
      <c r="A18" t="s">
        <v>29</v>
      </c>
      <c r="B18" t="str">
        <f t="shared" si="0"/>
        <v>S01</v>
      </c>
      <c r="C18">
        <v>0.02</v>
      </c>
      <c r="D18">
        <v>1.7000000000000001E-2</v>
      </c>
      <c r="E18">
        <v>1.6E-2</v>
      </c>
      <c r="F18">
        <v>1.7000000000000001E-2</v>
      </c>
      <c r="G18">
        <v>1.9E-2</v>
      </c>
      <c r="H18">
        <v>0.02</v>
      </c>
      <c r="I18">
        <v>2.1999999999999999E-2</v>
      </c>
      <c r="J18">
        <v>2.1000000000000001E-2</v>
      </c>
      <c r="K18">
        <v>0.153</v>
      </c>
      <c r="L18">
        <v>1.84</v>
      </c>
      <c r="M18">
        <v>6.2140000000000004</v>
      </c>
      <c r="N18">
        <v>74.819999999999993</v>
      </c>
      <c r="R18" t="s">
        <v>29</v>
      </c>
      <c r="S18" t="str">
        <f t="shared" si="1"/>
        <v>S01</v>
      </c>
      <c r="T18">
        <v>0.47099999999999997</v>
      </c>
      <c r="U18">
        <v>0.47099999999999997</v>
      </c>
      <c r="V18">
        <v>0.42</v>
      </c>
      <c r="W18">
        <v>0.46899999999999997</v>
      </c>
      <c r="X18">
        <v>0.46</v>
      </c>
      <c r="Y18">
        <v>0.52700000000000002</v>
      </c>
      <c r="Z18">
        <v>0.439</v>
      </c>
      <c r="AA18">
        <v>0.51500000000000001</v>
      </c>
      <c r="AB18">
        <v>3.7709999999999999</v>
      </c>
      <c r="AC18">
        <v>2.72</v>
      </c>
      <c r="AD18">
        <v>94.186999999999998</v>
      </c>
      <c r="AE18">
        <v>67.84</v>
      </c>
    </row>
    <row r="19" spans="1:31" x14ac:dyDescent="0.35">
      <c r="A19" t="s">
        <v>30</v>
      </c>
      <c r="B19" t="str">
        <f t="shared" si="0"/>
        <v>C03</v>
      </c>
      <c r="C19">
        <v>1.2E-2</v>
      </c>
      <c r="D19">
        <v>1.4E-2</v>
      </c>
      <c r="E19">
        <v>1.4999999999999999E-2</v>
      </c>
      <c r="F19">
        <v>1.7000000000000001E-2</v>
      </c>
      <c r="G19">
        <v>2.1000000000000001E-2</v>
      </c>
      <c r="H19">
        <v>0.02</v>
      </c>
      <c r="I19">
        <v>0.02</v>
      </c>
      <c r="J19">
        <v>1.7999999999999999E-2</v>
      </c>
      <c r="K19">
        <v>0.13600000000000001</v>
      </c>
      <c r="L19">
        <v>1.63</v>
      </c>
      <c r="M19">
        <v>6.35</v>
      </c>
      <c r="N19">
        <v>76.459999999999994</v>
      </c>
      <c r="R19" t="s">
        <v>30</v>
      </c>
      <c r="S19" t="str">
        <f t="shared" si="1"/>
        <v>C03</v>
      </c>
      <c r="T19">
        <v>0.29899999999999999</v>
      </c>
      <c r="U19">
        <v>0.32100000000000001</v>
      </c>
      <c r="V19">
        <v>0.312</v>
      </c>
      <c r="W19">
        <v>0.34300000000000003</v>
      </c>
      <c r="X19">
        <v>0.38400000000000001</v>
      </c>
      <c r="Y19">
        <v>0.36099999999999999</v>
      </c>
      <c r="Z19">
        <v>0.35299999999999998</v>
      </c>
      <c r="AA19">
        <v>0.309</v>
      </c>
      <c r="AB19">
        <v>2.6829999999999998</v>
      </c>
      <c r="AC19">
        <v>1.93</v>
      </c>
      <c r="AD19">
        <v>96.87</v>
      </c>
      <c r="AE19">
        <v>69.78</v>
      </c>
    </row>
    <row r="20" spans="1:31" x14ac:dyDescent="0.35">
      <c r="A20" t="s">
        <v>31</v>
      </c>
      <c r="B20" t="str">
        <f t="shared" si="0"/>
        <v>R05</v>
      </c>
      <c r="C20">
        <v>1.4E-2</v>
      </c>
      <c r="D20">
        <v>1.6E-2</v>
      </c>
      <c r="E20">
        <v>1.4999999999999999E-2</v>
      </c>
      <c r="F20">
        <v>1.2E-2</v>
      </c>
      <c r="G20">
        <v>7.0000000000000001E-3</v>
      </c>
      <c r="H20">
        <v>1.4999999999999999E-2</v>
      </c>
      <c r="I20">
        <v>1.4999999999999999E-2</v>
      </c>
      <c r="J20">
        <v>1.4999999999999999E-2</v>
      </c>
      <c r="K20">
        <v>0.108</v>
      </c>
      <c r="L20">
        <v>1.3</v>
      </c>
      <c r="M20">
        <v>6.4580000000000002</v>
      </c>
      <c r="N20">
        <v>77.760000000000005</v>
      </c>
      <c r="R20" t="s">
        <v>31</v>
      </c>
      <c r="S20" t="str">
        <f t="shared" si="1"/>
        <v>R05</v>
      </c>
      <c r="T20">
        <v>0.20699999999999999</v>
      </c>
      <c r="U20">
        <v>0.29199999999999998</v>
      </c>
      <c r="V20">
        <v>0.253</v>
      </c>
      <c r="W20">
        <v>0.185</v>
      </c>
      <c r="X20">
        <v>0.105</v>
      </c>
      <c r="Y20">
        <v>0.249</v>
      </c>
      <c r="Z20">
        <v>0.245</v>
      </c>
      <c r="AA20">
        <v>0.21299999999999999</v>
      </c>
      <c r="AB20">
        <v>1.748</v>
      </c>
      <c r="AC20">
        <v>1.26</v>
      </c>
      <c r="AD20">
        <v>98.617999999999995</v>
      </c>
      <c r="AE20">
        <v>71.040000000000006</v>
      </c>
    </row>
    <row r="21" spans="1:31" x14ac:dyDescent="0.35">
      <c r="A21" t="s">
        <v>32</v>
      </c>
      <c r="B21" t="str">
        <f t="shared" si="0"/>
        <v>B02</v>
      </c>
      <c r="C21">
        <v>6.0000000000000001E-3</v>
      </c>
      <c r="D21">
        <v>1.2999999999999999E-2</v>
      </c>
      <c r="E21">
        <v>1.0999999999999999E-2</v>
      </c>
      <c r="F21">
        <v>1.7000000000000001E-2</v>
      </c>
      <c r="G21">
        <v>1.2999999999999999E-2</v>
      </c>
      <c r="H21">
        <v>1.2E-2</v>
      </c>
      <c r="I21">
        <v>1.0999999999999999E-2</v>
      </c>
      <c r="J21">
        <v>8.0000000000000002E-3</v>
      </c>
      <c r="K21">
        <v>9.1999999999999998E-2</v>
      </c>
      <c r="L21">
        <v>1.1100000000000001</v>
      </c>
      <c r="M21">
        <v>6.55</v>
      </c>
      <c r="N21">
        <v>78.86</v>
      </c>
      <c r="R21" t="s">
        <v>32</v>
      </c>
      <c r="S21" t="str">
        <f t="shared" si="1"/>
        <v>B02</v>
      </c>
      <c r="T21">
        <v>7.0000000000000001E-3</v>
      </c>
      <c r="U21">
        <v>8.0000000000000002E-3</v>
      </c>
      <c r="V21">
        <v>8.0000000000000002E-3</v>
      </c>
      <c r="W21">
        <v>1.4E-2</v>
      </c>
      <c r="X21">
        <v>1.0999999999999999E-2</v>
      </c>
      <c r="Y21">
        <v>1.0999999999999999E-2</v>
      </c>
      <c r="Z21">
        <v>1.4E-2</v>
      </c>
      <c r="AA21">
        <v>1.0999999999999999E-2</v>
      </c>
      <c r="AB21">
        <v>8.3000000000000004E-2</v>
      </c>
      <c r="AC21">
        <v>0.06</v>
      </c>
      <c r="AD21">
        <v>98.701999999999998</v>
      </c>
      <c r="AE21">
        <v>71.099999999999994</v>
      </c>
    </row>
    <row r="22" spans="1:31" x14ac:dyDescent="0.35">
      <c r="A22" t="s">
        <v>33</v>
      </c>
      <c r="B22" t="str">
        <f t="shared" si="0"/>
        <v>H03</v>
      </c>
      <c r="C22">
        <v>8.9999999999999993E-3</v>
      </c>
      <c r="D22">
        <v>8.9999999999999993E-3</v>
      </c>
      <c r="E22">
        <v>8.9999999999999993E-3</v>
      </c>
      <c r="F22">
        <v>1.0999999999999999E-2</v>
      </c>
      <c r="G22">
        <v>1.2E-2</v>
      </c>
      <c r="H22">
        <v>1.2999999999999999E-2</v>
      </c>
      <c r="I22">
        <v>1.4E-2</v>
      </c>
      <c r="J22">
        <v>1.2E-2</v>
      </c>
      <c r="K22">
        <v>8.8999999999999996E-2</v>
      </c>
      <c r="L22">
        <v>1.07</v>
      </c>
      <c r="M22">
        <v>6.6390000000000002</v>
      </c>
      <c r="N22">
        <v>79.94</v>
      </c>
      <c r="R22" t="s">
        <v>33</v>
      </c>
      <c r="S22" t="str">
        <f t="shared" si="1"/>
        <v>H03</v>
      </c>
      <c r="T22">
        <v>0.25</v>
      </c>
      <c r="U22">
        <v>0.23899999999999999</v>
      </c>
      <c r="V22">
        <v>0.22600000000000001</v>
      </c>
      <c r="W22">
        <v>0.23200000000000001</v>
      </c>
      <c r="X22">
        <v>0.251</v>
      </c>
      <c r="Y22">
        <v>0.26500000000000001</v>
      </c>
      <c r="Z22">
        <v>0.26</v>
      </c>
      <c r="AA22">
        <v>0.215</v>
      </c>
      <c r="AB22">
        <v>1.9390000000000001</v>
      </c>
      <c r="AC22">
        <v>1.4</v>
      </c>
      <c r="AD22">
        <v>100.64</v>
      </c>
      <c r="AE22">
        <v>72.489999999999995</v>
      </c>
    </row>
    <row r="23" spans="1:31" x14ac:dyDescent="0.35">
      <c r="A23" s="3" t="s">
        <v>34</v>
      </c>
      <c r="B23" t="str">
        <f t="shared" si="0"/>
        <v>M01</v>
      </c>
      <c r="C23" s="3">
        <v>1.0999999999999999E-2</v>
      </c>
      <c r="D23" s="3">
        <v>1.2999999999999999E-2</v>
      </c>
      <c r="E23" s="3">
        <v>8.9999999999999993E-3</v>
      </c>
      <c r="F23" s="3">
        <v>1.2E-2</v>
      </c>
      <c r="G23" s="3">
        <v>0.01</v>
      </c>
      <c r="H23" s="3">
        <v>8.9999999999999993E-3</v>
      </c>
      <c r="I23" s="3">
        <v>1.2E-2</v>
      </c>
      <c r="J23" s="3">
        <v>1.2E-2</v>
      </c>
      <c r="K23" s="3">
        <v>8.8999999999999996E-2</v>
      </c>
      <c r="L23" s="3">
        <v>1.07</v>
      </c>
      <c r="M23" s="3">
        <v>6.7279999999999998</v>
      </c>
      <c r="N23" s="3">
        <v>81.010000000000005</v>
      </c>
      <c r="R23" t="s">
        <v>34</v>
      </c>
      <c r="S23" t="str">
        <f t="shared" si="1"/>
        <v>M01</v>
      </c>
      <c r="T23">
        <v>0.252</v>
      </c>
      <c r="U23">
        <v>0.26900000000000002</v>
      </c>
      <c r="V23">
        <v>0.2</v>
      </c>
      <c r="W23">
        <v>0.248</v>
      </c>
      <c r="X23">
        <v>0.21299999999999999</v>
      </c>
      <c r="Y23">
        <v>0.216</v>
      </c>
      <c r="Z23">
        <v>0.27100000000000002</v>
      </c>
      <c r="AA23">
        <v>0.25600000000000001</v>
      </c>
      <c r="AB23">
        <v>1.9259999999999999</v>
      </c>
      <c r="AC23">
        <v>1.39</v>
      </c>
      <c r="AD23">
        <v>102.566</v>
      </c>
      <c r="AE23">
        <v>73.88</v>
      </c>
    </row>
    <row r="24" spans="1:31" x14ac:dyDescent="0.35">
      <c r="A24" t="s">
        <v>35</v>
      </c>
      <c r="C24">
        <v>7.0000000000000001E-3</v>
      </c>
      <c r="D24">
        <v>8.0000000000000002E-3</v>
      </c>
      <c r="E24">
        <v>8.9999999999999993E-3</v>
      </c>
      <c r="F24">
        <v>0.01</v>
      </c>
      <c r="G24">
        <v>1.2E-2</v>
      </c>
      <c r="H24">
        <v>1.2999999999999999E-2</v>
      </c>
      <c r="I24">
        <v>1.4E-2</v>
      </c>
      <c r="J24">
        <v>1.2999999999999999E-2</v>
      </c>
      <c r="K24">
        <v>8.6999999999999994E-2</v>
      </c>
      <c r="L24">
        <v>1.05</v>
      </c>
      <c r="M24">
        <v>6.8150000000000004</v>
      </c>
      <c r="N24">
        <v>82.06</v>
      </c>
      <c r="R24" s="4" t="s">
        <v>35</v>
      </c>
      <c r="S24" s="4" t="e">
        <f t="shared" si="1"/>
        <v>#N/A</v>
      </c>
      <c r="T24">
        <v>0.191</v>
      </c>
      <c r="U24">
        <v>0.20200000000000001</v>
      </c>
      <c r="V24">
        <v>0.19800000000000001</v>
      </c>
      <c r="W24">
        <v>0.217</v>
      </c>
      <c r="X24">
        <v>0.24299999999999999</v>
      </c>
      <c r="Y24">
        <v>0.25900000000000001</v>
      </c>
      <c r="Z24">
        <v>0.25700000000000001</v>
      </c>
      <c r="AA24">
        <v>0.223</v>
      </c>
      <c r="AB24">
        <v>1.7909999999999999</v>
      </c>
      <c r="AC24">
        <v>1.29</v>
      </c>
      <c r="AD24">
        <v>104.357</v>
      </c>
      <c r="AE24">
        <v>75.17</v>
      </c>
    </row>
    <row r="25" spans="1:31" x14ac:dyDescent="0.35">
      <c r="A25" t="s">
        <v>36</v>
      </c>
      <c r="C25">
        <v>7.0000000000000001E-3</v>
      </c>
      <c r="D25">
        <v>7.0000000000000001E-3</v>
      </c>
      <c r="E25">
        <v>0.01</v>
      </c>
      <c r="F25">
        <v>1.0999999999999999E-2</v>
      </c>
      <c r="G25">
        <v>1.0999999999999999E-2</v>
      </c>
      <c r="H25">
        <v>1.2E-2</v>
      </c>
      <c r="I25">
        <v>1.4999999999999999E-2</v>
      </c>
      <c r="J25">
        <v>1.2E-2</v>
      </c>
      <c r="K25">
        <v>8.5000000000000006E-2</v>
      </c>
      <c r="L25">
        <v>1.02</v>
      </c>
      <c r="M25">
        <v>6.9</v>
      </c>
      <c r="N25">
        <v>83.08</v>
      </c>
      <c r="R25" s="4" t="s">
        <v>36</v>
      </c>
      <c r="S25" s="4" t="e">
        <f t="shared" si="1"/>
        <v>#N/A</v>
      </c>
      <c r="T25">
        <v>0.17599999999999999</v>
      </c>
      <c r="U25">
        <v>0.17100000000000001</v>
      </c>
      <c r="V25">
        <v>0.23400000000000001</v>
      </c>
      <c r="W25">
        <v>0.248</v>
      </c>
      <c r="X25">
        <v>0.22800000000000001</v>
      </c>
      <c r="Y25">
        <v>0.25600000000000001</v>
      </c>
      <c r="Z25">
        <v>0.30299999999999999</v>
      </c>
      <c r="AA25">
        <v>0.245</v>
      </c>
      <c r="AB25">
        <v>1.86</v>
      </c>
      <c r="AC25">
        <v>1.34</v>
      </c>
      <c r="AD25">
        <v>106.217</v>
      </c>
      <c r="AE25">
        <v>76.510000000000005</v>
      </c>
    </row>
    <row r="26" spans="1:31" x14ac:dyDescent="0.35">
      <c r="A26" t="s">
        <v>37</v>
      </c>
      <c r="C26">
        <v>6.0000000000000001E-3</v>
      </c>
      <c r="D26">
        <v>8.0000000000000002E-3</v>
      </c>
      <c r="E26">
        <v>0.01</v>
      </c>
      <c r="F26">
        <v>8.9999999999999993E-3</v>
      </c>
      <c r="G26">
        <v>1.2E-2</v>
      </c>
      <c r="H26">
        <v>1.2E-2</v>
      </c>
      <c r="I26">
        <v>1.2E-2</v>
      </c>
      <c r="J26">
        <v>1.2E-2</v>
      </c>
      <c r="K26">
        <v>0.08</v>
      </c>
      <c r="L26">
        <v>0.97</v>
      </c>
      <c r="M26">
        <v>6.9809999999999999</v>
      </c>
      <c r="N26">
        <v>84.05</v>
      </c>
      <c r="R26" s="4" t="s">
        <v>37</v>
      </c>
      <c r="S26" s="4" t="e">
        <f t="shared" si="1"/>
        <v>#N/A</v>
      </c>
      <c r="T26">
        <v>0.153</v>
      </c>
      <c r="U26">
        <v>0.19700000000000001</v>
      </c>
      <c r="V26">
        <v>0.23799999999999999</v>
      </c>
      <c r="W26">
        <v>0.17699999999999999</v>
      </c>
      <c r="X26">
        <v>0.251</v>
      </c>
      <c r="Y26">
        <v>0.26</v>
      </c>
      <c r="Z26">
        <v>0.21199999999999999</v>
      </c>
      <c r="AA26">
        <v>0.23599999999999999</v>
      </c>
      <c r="AB26">
        <v>1.7230000000000001</v>
      </c>
      <c r="AC26">
        <v>1.24</v>
      </c>
      <c r="AD26">
        <v>107.941</v>
      </c>
      <c r="AE26">
        <v>77.75</v>
      </c>
    </row>
    <row r="27" spans="1:31" x14ac:dyDescent="0.35">
      <c r="A27" t="s">
        <v>38</v>
      </c>
      <c r="C27">
        <v>0.01</v>
      </c>
      <c r="D27">
        <v>0.01</v>
      </c>
      <c r="E27">
        <v>8.9999999999999993E-3</v>
      </c>
      <c r="F27">
        <v>8.9999999999999993E-3</v>
      </c>
      <c r="G27">
        <v>0.01</v>
      </c>
      <c r="H27">
        <v>1.0999999999999999E-2</v>
      </c>
      <c r="I27">
        <v>8.0000000000000002E-3</v>
      </c>
      <c r="J27">
        <v>1.2E-2</v>
      </c>
      <c r="K27">
        <v>0.08</v>
      </c>
      <c r="L27">
        <v>0.97</v>
      </c>
      <c r="M27">
        <v>7.0609999999999999</v>
      </c>
      <c r="N27">
        <v>85.02</v>
      </c>
      <c r="R27" s="4" t="s">
        <v>38</v>
      </c>
      <c r="S27" s="4" t="e">
        <f t="shared" si="1"/>
        <v>#N/A</v>
      </c>
      <c r="T27">
        <v>0.109</v>
      </c>
      <c r="U27">
        <v>0.12</v>
      </c>
      <c r="V27">
        <v>0.112</v>
      </c>
      <c r="W27">
        <v>0.112</v>
      </c>
      <c r="X27">
        <v>0.124</v>
      </c>
      <c r="Y27">
        <v>0.13600000000000001</v>
      </c>
      <c r="Z27">
        <v>0.128</v>
      </c>
      <c r="AA27">
        <v>0.123</v>
      </c>
      <c r="AB27">
        <v>0.96399999999999997</v>
      </c>
      <c r="AC27">
        <v>0.69</v>
      </c>
      <c r="AD27">
        <v>108.904</v>
      </c>
      <c r="AE27">
        <v>78.45</v>
      </c>
    </row>
    <row r="28" spans="1:31" x14ac:dyDescent="0.35">
      <c r="A28" t="s">
        <v>39</v>
      </c>
      <c r="C28">
        <v>7.0000000000000001E-3</v>
      </c>
      <c r="D28">
        <v>7.0000000000000001E-3</v>
      </c>
      <c r="E28">
        <v>7.0000000000000001E-3</v>
      </c>
      <c r="F28">
        <v>8.9999999999999993E-3</v>
      </c>
      <c r="G28">
        <v>1.0999999999999999E-2</v>
      </c>
      <c r="H28">
        <v>1.2999999999999999E-2</v>
      </c>
      <c r="I28">
        <v>1.2999999999999999E-2</v>
      </c>
      <c r="J28">
        <v>1.0999999999999999E-2</v>
      </c>
      <c r="K28">
        <v>7.8E-2</v>
      </c>
      <c r="L28">
        <v>0.93</v>
      </c>
      <c r="M28">
        <v>7.1390000000000002</v>
      </c>
      <c r="N28">
        <v>85.95</v>
      </c>
      <c r="R28" s="4" t="s">
        <v>39</v>
      </c>
      <c r="S28" s="4" t="e">
        <f t="shared" si="1"/>
        <v>#N/A</v>
      </c>
      <c r="T28">
        <v>0.246</v>
      </c>
      <c r="U28">
        <v>0.22900000000000001</v>
      </c>
      <c r="V28">
        <v>0.247</v>
      </c>
      <c r="W28">
        <v>0.28899999999999998</v>
      </c>
      <c r="X28">
        <v>0.35499999999999998</v>
      </c>
      <c r="Y28">
        <v>0.376</v>
      </c>
      <c r="Z28">
        <v>0.375</v>
      </c>
      <c r="AA28">
        <v>0.30499999999999999</v>
      </c>
      <c r="AB28">
        <v>2.4220000000000002</v>
      </c>
      <c r="AC28">
        <v>1.74</v>
      </c>
      <c r="AD28">
        <v>111.32599999999999</v>
      </c>
      <c r="AE28">
        <v>80.19</v>
      </c>
    </row>
    <row r="29" spans="1:31" x14ac:dyDescent="0.35">
      <c r="A29" t="s">
        <v>40</v>
      </c>
      <c r="C29">
        <v>7.0000000000000001E-3</v>
      </c>
      <c r="D29">
        <v>6.0000000000000001E-3</v>
      </c>
      <c r="E29">
        <v>8.0000000000000002E-3</v>
      </c>
      <c r="F29">
        <v>0.01</v>
      </c>
      <c r="G29">
        <v>7.0000000000000001E-3</v>
      </c>
      <c r="H29">
        <v>8.0000000000000002E-3</v>
      </c>
      <c r="I29">
        <v>1.0999999999999999E-2</v>
      </c>
      <c r="J29">
        <v>1.0999999999999999E-2</v>
      </c>
      <c r="K29">
        <v>6.8000000000000005E-2</v>
      </c>
      <c r="L29">
        <v>0.81</v>
      </c>
      <c r="M29">
        <v>7.2060000000000004</v>
      </c>
      <c r="N29">
        <v>86.76</v>
      </c>
      <c r="R29" s="4" t="s">
        <v>40</v>
      </c>
      <c r="S29" s="4" t="e">
        <f t="shared" si="1"/>
        <v>#N/A</v>
      </c>
      <c r="T29" s="3">
        <v>0.18099999999999999</v>
      </c>
      <c r="U29" s="3">
        <v>0.13200000000000001</v>
      </c>
      <c r="V29" s="3">
        <v>0.192</v>
      </c>
      <c r="W29" s="3">
        <v>0.312</v>
      </c>
      <c r="X29" s="3">
        <v>0.185</v>
      </c>
      <c r="Y29" s="3">
        <v>0.23499999999999999</v>
      </c>
      <c r="Z29" s="3">
        <v>0.32300000000000001</v>
      </c>
      <c r="AA29" s="3">
        <v>0.30599999999999999</v>
      </c>
      <c r="AB29" s="3">
        <v>1.8660000000000001</v>
      </c>
      <c r="AC29" s="3">
        <v>1.34</v>
      </c>
      <c r="AD29" s="3">
        <v>113.19199999999999</v>
      </c>
      <c r="AE29" s="3">
        <v>81.53</v>
      </c>
    </row>
    <row r="30" spans="1:31" x14ac:dyDescent="0.35">
      <c r="A30" t="s">
        <v>41</v>
      </c>
      <c r="C30">
        <v>8.0000000000000002E-3</v>
      </c>
      <c r="D30">
        <v>8.9999999999999993E-3</v>
      </c>
      <c r="E30">
        <v>1.0999999999999999E-2</v>
      </c>
      <c r="F30">
        <v>5.0000000000000001E-3</v>
      </c>
      <c r="G30">
        <v>0.01</v>
      </c>
      <c r="H30">
        <v>8.9999999999999993E-3</v>
      </c>
      <c r="I30">
        <v>5.0000000000000001E-3</v>
      </c>
      <c r="J30">
        <v>7.0000000000000001E-3</v>
      </c>
      <c r="K30">
        <v>6.4000000000000001E-2</v>
      </c>
      <c r="L30">
        <v>0.77</v>
      </c>
      <c r="M30">
        <v>7.27</v>
      </c>
      <c r="N30">
        <v>87.53</v>
      </c>
      <c r="R30" t="s">
        <v>41</v>
      </c>
      <c r="T30">
        <v>0.19900000000000001</v>
      </c>
      <c r="U30">
        <v>0.26800000000000002</v>
      </c>
      <c r="V30">
        <v>0.218</v>
      </c>
      <c r="W30">
        <v>9.1999999999999998E-2</v>
      </c>
      <c r="X30">
        <v>0.26500000000000001</v>
      </c>
      <c r="Y30">
        <v>0.28299999999999997</v>
      </c>
      <c r="Z30">
        <v>0.14099999999999999</v>
      </c>
      <c r="AA30">
        <v>0.246</v>
      </c>
      <c r="AB30">
        <v>1.7110000000000001</v>
      </c>
      <c r="AC30">
        <v>1.23</v>
      </c>
      <c r="AD30">
        <v>114.90300000000001</v>
      </c>
      <c r="AE30">
        <v>82.77</v>
      </c>
    </row>
    <row r="31" spans="1:31" x14ac:dyDescent="0.35">
      <c r="A31" t="s">
        <v>42</v>
      </c>
      <c r="C31">
        <v>5.0000000000000001E-3</v>
      </c>
      <c r="D31">
        <v>7.0000000000000001E-3</v>
      </c>
      <c r="E31">
        <v>7.0000000000000001E-3</v>
      </c>
      <c r="F31">
        <v>8.0000000000000002E-3</v>
      </c>
      <c r="G31">
        <v>8.0000000000000002E-3</v>
      </c>
      <c r="H31">
        <v>1.2E-2</v>
      </c>
      <c r="I31">
        <v>8.0000000000000002E-3</v>
      </c>
      <c r="J31">
        <v>8.9999999999999993E-3</v>
      </c>
      <c r="K31">
        <v>6.3E-2</v>
      </c>
      <c r="L31">
        <v>0.76</v>
      </c>
      <c r="M31">
        <v>7.3330000000000002</v>
      </c>
      <c r="N31">
        <v>88.29</v>
      </c>
      <c r="R31" t="s">
        <v>42</v>
      </c>
      <c r="T31">
        <v>0.107</v>
      </c>
      <c r="U31">
        <v>0.22600000000000001</v>
      </c>
      <c r="V31">
        <v>0.2</v>
      </c>
      <c r="W31">
        <v>0.27</v>
      </c>
      <c r="X31">
        <v>0.22600000000000001</v>
      </c>
      <c r="Y31">
        <v>0.38700000000000001</v>
      </c>
      <c r="Z31">
        <v>0.17399999999999999</v>
      </c>
      <c r="AA31">
        <v>0.215</v>
      </c>
      <c r="AB31">
        <v>1.804</v>
      </c>
      <c r="AC31">
        <v>1.3</v>
      </c>
      <c r="AD31">
        <v>116.70699999999999</v>
      </c>
      <c r="AE31">
        <v>84.07</v>
      </c>
    </row>
    <row r="32" spans="1:31" x14ac:dyDescent="0.35">
      <c r="A32" t="s">
        <v>43</v>
      </c>
      <c r="C32">
        <v>0.01</v>
      </c>
      <c r="D32">
        <v>2E-3</v>
      </c>
      <c r="E32">
        <v>0.01</v>
      </c>
      <c r="F32">
        <v>5.0000000000000001E-3</v>
      </c>
      <c r="G32">
        <v>6.0000000000000001E-3</v>
      </c>
      <c r="H32">
        <v>1.2E-2</v>
      </c>
      <c r="I32">
        <v>1.4E-2</v>
      </c>
      <c r="J32">
        <v>2E-3</v>
      </c>
      <c r="K32">
        <v>6.0999999999999999E-2</v>
      </c>
      <c r="L32">
        <v>0.74</v>
      </c>
      <c r="M32">
        <v>7.3940000000000001</v>
      </c>
      <c r="N32">
        <v>89.03</v>
      </c>
      <c r="R32" t="s">
        <v>43</v>
      </c>
      <c r="T32">
        <v>0.13</v>
      </c>
      <c r="U32">
        <v>2.1999999999999999E-2</v>
      </c>
      <c r="V32">
        <v>0.11899999999999999</v>
      </c>
      <c r="W32">
        <v>6.7000000000000004E-2</v>
      </c>
      <c r="X32">
        <v>0.11799999999999999</v>
      </c>
      <c r="Y32">
        <v>0.20200000000000001</v>
      </c>
      <c r="Z32">
        <v>0.216</v>
      </c>
      <c r="AA32">
        <v>1.7999999999999999E-2</v>
      </c>
      <c r="AB32">
        <v>0.89300000000000002</v>
      </c>
      <c r="AC32">
        <v>0.64</v>
      </c>
      <c r="AD32">
        <v>117.6</v>
      </c>
      <c r="AE32">
        <v>84.71</v>
      </c>
    </row>
    <row r="33" spans="1:31" x14ac:dyDescent="0.35">
      <c r="A33" t="s">
        <v>44</v>
      </c>
      <c r="C33">
        <v>7.0000000000000001E-3</v>
      </c>
      <c r="D33">
        <v>5.0000000000000001E-3</v>
      </c>
      <c r="E33">
        <v>6.0000000000000001E-3</v>
      </c>
      <c r="F33">
        <v>8.0000000000000002E-3</v>
      </c>
      <c r="G33">
        <v>8.9999999999999993E-3</v>
      </c>
      <c r="H33">
        <v>6.0000000000000001E-3</v>
      </c>
      <c r="I33">
        <v>1.0999999999999999E-2</v>
      </c>
      <c r="J33">
        <v>5.0000000000000001E-3</v>
      </c>
      <c r="K33">
        <v>5.8000000000000003E-2</v>
      </c>
      <c r="L33">
        <v>0.7</v>
      </c>
      <c r="M33">
        <v>7.452</v>
      </c>
      <c r="N33">
        <v>89.73</v>
      </c>
      <c r="R33" t="s">
        <v>44</v>
      </c>
      <c r="T33">
        <v>8.7999999999999995E-2</v>
      </c>
      <c r="U33">
        <v>7.9000000000000001E-2</v>
      </c>
      <c r="V33">
        <v>0.15</v>
      </c>
      <c r="W33">
        <v>0.187</v>
      </c>
      <c r="X33">
        <v>0.17100000000000001</v>
      </c>
      <c r="Y33">
        <v>0.16400000000000001</v>
      </c>
      <c r="Z33">
        <v>0.38</v>
      </c>
      <c r="AA33">
        <v>0.156</v>
      </c>
      <c r="AB33">
        <v>1.375</v>
      </c>
      <c r="AC33">
        <v>0.99</v>
      </c>
      <c r="AD33">
        <v>118.97499999999999</v>
      </c>
      <c r="AE33">
        <v>85.7</v>
      </c>
    </row>
    <row r="34" spans="1:31" x14ac:dyDescent="0.35">
      <c r="A34" t="s">
        <v>45</v>
      </c>
      <c r="C34">
        <v>5.0000000000000001E-3</v>
      </c>
      <c r="D34">
        <v>6.0000000000000001E-3</v>
      </c>
      <c r="E34">
        <v>6.0000000000000001E-3</v>
      </c>
      <c r="F34">
        <v>6.0000000000000001E-3</v>
      </c>
      <c r="G34">
        <v>8.0000000000000002E-3</v>
      </c>
      <c r="H34">
        <v>8.0000000000000002E-3</v>
      </c>
      <c r="I34">
        <v>8.0000000000000002E-3</v>
      </c>
      <c r="J34">
        <v>6.0000000000000001E-3</v>
      </c>
      <c r="K34">
        <v>5.3999999999999999E-2</v>
      </c>
      <c r="L34">
        <v>0.65</v>
      </c>
      <c r="M34">
        <v>7.5069999999999997</v>
      </c>
      <c r="N34">
        <v>90.38</v>
      </c>
      <c r="R34" t="s">
        <v>45</v>
      </c>
      <c r="T34">
        <v>7.1999999999999995E-2</v>
      </c>
      <c r="U34">
        <v>6.7000000000000004E-2</v>
      </c>
      <c r="V34">
        <v>6.3E-2</v>
      </c>
      <c r="W34">
        <v>7.1999999999999995E-2</v>
      </c>
      <c r="X34">
        <v>9.2999999999999999E-2</v>
      </c>
      <c r="Y34">
        <v>0.10100000000000001</v>
      </c>
      <c r="Z34">
        <v>9.4E-2</v>
      </c>
      <c r="AA34">
        <v>7.8E-2</v>
      </c>
      <c r="AB34">
        <v>0.64100000000000001</v>
      </c>
      <c r="AC34">
        <v>0.46</v>
      </c>
      <c r="AD34">
        <v>119.616</v>
      </c>
      <c r="AE34">
        <v>86.16</v>
      </c>
    </row>
    <row r="35" spans="1:31" x14ac:dyDescent="0.35">
      <c r="A35" t="s">
        <v>46</v>
      </c>
      <c r="C35">
        <v>5.0000000000000001E-3</v>
      </c>
      <c r="D35">
        <v>6.0000000000000001E-3</v>
      </c>
      <c r="E35">
        <v>8.9999999999999993E-3</v>
      </c>
      <c r="F35">
        <v>5.0000000000000001E-3</v>
      </c>
      <c r="G35">
        <v>4.0000000000000001E-3</v>
      </c>
      <c r="H35">
        <v>7.0000000000000001E-3</v>
      </c>
      <c r="I35">
        <v>6.0000000000000001E-3</v>
      </c>
      <c r="J35">
        <v>1.0999999999999999E-2</v>
      </c>
      <c r="K35">
        <v>5.2999999999999999E-2</v>
      </c>
      <c r="L35">
        <v>0.64</v>
      </c>
      <c r="M35">
        <v>7.56</v>
      </c>
      <c r="N35">
        <v>91.02</v>
      </c>
      <c r="R35" t="s">
        <v>46</v>
      </c>
      <c r="T35">
        <v>7.5999999999999998E-2</v>
      </c>
      <c r="U35">
        <v>9.4E-2</v>
      </c>
      <c r="V35">
        <v>0.14399999999999999</v>
      </c>
      <c r="W35">
        <v>8.8999999999999996E-2</v>
      </c>
      <c r="X35">
        <v>6.5000000000000002E-2</v>
      </c>
      <c r="Y35">
        <v>0.10199999999999999</v>
      </c>
      <c r="Z35">
        <v>0.10199999999999999</v>
      </c>
      <c r="AA35">
        <v>0.17599999999999999</v>
      </c>
      <c r="AB35">
        <v>0.84799999999999998</v>
      </c>
      <c r="AC35">
        <v>0.61</v>
      </c>
      <c r="AD35">
        <v>120.464</v>
      </c>
      <c r="AE35">
        <v>86.77</v>
      </c>
    </row>
    <row r="36" spans="1:31" x14ac:dyDescent="0.35">
      <c r="A36" t="s">
        <v>47</v>
      </c>
      <c r="C36">
        <v>6.0000000000000001E-3</v>
      </c>
      <c r="D36">
        <v>6.0000000000000001E-3</v>
      </c>
      <c r="E36">
        <v>4.0000000000000001E-3</v>
      </c>
      <c r="F36">
        <v>7.0000000000000001E-3</v>
      </c>
      <c r="G36">
        <v>8.0000000000000002E-3</v>
      </c>
      <c r="H36">
        <v>7.0000000000000001E-3</v>
      </c>
      <c r="I36">
        <v>8.0000000000000002E-3</v>
      </c>
      <c r="J36">
        <v>6.0000000000000001E-3</v>
      </c>
      <c r="K36">
        <v>5.0999999999999997E-2</v>
      </c>
      <c r="L36">
        <v>0.62</v>
      </c>
      <c r="M36">
        <v>7.6109999999999998</v>
      </c>
      <c r="N36">
        <v>91.64</v>
      </c>
      <c r="R36" t="s">
        <v>47</v>
      </c>
      <c r="T36">
        <v>0.17399999999999999</v>
      </c>
      <c r="U36">
        <v>0.14199999999999999</v>
      </c>
      <c r="V36">
        <v>8.4000000000000005E-2</v>
      </c>
      <c r="W36">
        <v>0.16900000000000001</v>
      </c>
      <c r="X36">
        <v>0.21199999999999999</v>
      </c>
      <c r="Y36">
        <v>0.23</v>
      </c>
      <c r="Z36">
        <v>0.247</v>
      </c>
      <c r="AA36">
        <v>0.13600000000000001</v>
      </c>
      <c r="AB36">
        <v>1.395</v>
      </c>
      <c r="AC36">
        <v>1</v>
      </c>
      <c r="AD36">
        <v>121.85899999999999</v>
      </c>
      <c r="AE36">
        <v>87.78</v>
      </c>
    </row>
    <row r="37" spans="1:31" x14ac:dyDescent="0.35">
      <c r="A37" t="s">
        <v>48</v>
      </c>
      <c r="C37">
        <v>3.0000000000000001E-3</v>
      </c>
      <c r="D37">
        <v>6.0000000000000001E-3</v>
      </c>
      <c r="E37">
        <v>4.0000000000000001E-3</v>
      </c>
      <c r="F37">
        <v>4.0000000000000001E-3</v>
      </c>
      <c r="G37">
        <v>1.2E-2</v>
      </c>
      <c r="H37">
        <v>6.0000000000000001E-3</v>
      </c>
      <c r="I37">
        <v>5.0000000000000001E-3</v>
      </c>
      <c r="J37">
        <v>4.0000000000000001E-3</v>
      </c>
      <c r="K37">
        <v>4.4999999999999998E-2</v>
      </c>
      <c r="L37">
        <v>0.54</v>
      </c>
      <c r="M37">
        <v>7.6559999999999997</v>
      </c>
      <c r="N37">
        <v>92.18</v>
      </c>
      <c r="R37" t="s">
        <v>48</v>
      </c>
      <c r="T37">
        <v>5.0999999999999997E-2</v>
      </c>
      <c r="U37">
        <v>5.2999999999999999E-2</v>
      </c>
      <c r="V37">
        <v>3.5000000000000003E-2</v>
      </c>
      <c r="W37">
        <v>4.2000000000000003E-2</v>
      </c>
      <c r="X37">
        <v>0.13800000000000001</v>
      </c>
      <c r="Y37">
        <v>9.9000000000000005E-2</v>
      </c>
      <c r="Z37">
        <v>4.1000000000000002E-2</v>
      </c>
      <c r="AA37">
        <v>7.3999999999999996E-2</v>
      </c>
      <c r="AB37">
        <v>0.53400000000000003</v>
      </c>
      <c r="AC37">
        <v>0.38</v>
      </c>
      <c r="AD37">
        <v>122.393</v>
      </c>
      <c r="AE37">
        <v>88.16</v>
      </c>
    </row>
    <row r="38" spans="1:31" x14ac:dyDescent="0.35">
      <c r="A38" t="s">
        <v>49</v>
      </c>
      <c r="C38">
        <v>4.0000000000000001E-3</v>
      </c>
      <c r="D38">
        <v>4.0000000000000001E-3</v>
      </c>
      <c r="E38">
        <v>4.0000000000000001E-3</v>
      </c>
      <c r="F38">
        <v>5.0000000000000001E-3</v>
      </c>
      <c r="G38">
        <v>6.0000000000000001E-3</v>
      </c>
      <c r="H38">
        <v>6.0000000000000001E-3</v>
      </c>
      <c r="I38">
        <v>6.0000000000000001E-3</v>
      </c>
      <c r="J38">
        <v>5.0000000000000001E-3</v>
      </c>
      <c r="K38">
        <v>3.9E-2</v>
      </c>
      <c r="L38">
        <v>0.47</v>
      </c>
      <c r="M38">
        <v>7.6959999999999997</v>
      </c>
      <c r="N38">
        <v>92.66</v>
      </c>
      <c r="R38" t="s">
        <v>49</v>
      </c>
      <c r="T38">
        <v>6.8000000000000005E-2</v>
      </c>
      <c r="U38">
        <v>7.4999999999999997E-2</v>
      </c>
      <c r="V38">
        <v>7.6999999999999999E-2</v>
      </c>
      <c r="W38">
        <v>8.4000000000000005E-2</v>
      </c>
      <c r="X38">
        <v>8.8999999999999996E-2</v>
      </c>
      <c r="Y38">
        <v>9.2999999999999999E-2</v>
      </c>
      <c r="Z38">
        <v>8.6999999999999994E-2</v>
      </c>
      <c r="AA38">
        <v>7.5999999999999998E-2</v>
      </c>
      <c r="AB38">
        <v>0.64900000000000002</v>
      </c>
      <c r="AC38">
        <v>0.47</v>
      </c>
      <c r="AD38">
        <v>123.042</v>
      </c>
      <c r="AE38">
        <v>88.63</v>
      </c>
    </row>
    <row r="39" spans="1:31" x14ac:dyDescent="0.35">
      <c r="A39" t="s">
        <v>50</v>
      </c>
      <c r="C39">
        <v>4.0000000000000001E-3</v>
      </c>
      <c r="D39">
        <v>5.0000000000000001E-3</v>
      </c>
      <c r="E39">
        <v>6.0000000000000001E-3</v>
      </c>
      <c r="F39">
        <v>5.0000000000000001E-3</v>
      </c>
      <c r="G39">
        <v>4.0000000000000001E-3</v>
      </c>
      <c r="H39">
        <v>6.0000000000000001E-3</v>
      </c>
      <c r="I39">
        <v>4.0000000000000001E-3</v>
      </c>
      <c r="J39">
        <v>4.0000000000000001E-3</v>
      </c>
      <c r="K39">
        <v>3.6999999999999998E-2</v>
      </c>
      <c r="L39">
        <v>0.45</v>
      </c>
      <c r="M39">
        <v>7.7329999999999997</v>
      </c>
      <c r="N39">
        <v>93.11</v>
      </c>
      <c r="R39" t="s">
        <v>50</v>
      </c>
      <c r="T39">
        <v>8.7999999999999995E-2</v>
      </c>
      <c r="U39">
        <v>0.108</v>
      </c>
      <c r="V39">
        <v>0.11799999999999999</v>
      </c>
      <c r="W39">
        <v>0.12</v>
      </c>
      <c r="X39">
        <v>9.7000000000000003E-2</v>
      </c>
      <c r="Y39">
        <v>0.14799999999999999</v>
      </c>
      <c r="Z39">
        <v>0.124</v>
      </c>
      <c r="AA39">
        <v>0.11</v>
      </c>
      <c r="AB39">
        <v>0.91100000000000003</v>
      </c>
      <c r="AC39">
        <v>0.66</v>
      </c>
      <c r="AD39">
        <v>123.953</v>
      </c>
      <c r="AE39">
        <v>89.29</v>
      </c>
    </row>
    <row r="40" spans="1:31" x14ac:dyDescent="0.35">
      <c r="A40" t="s">
        <v>51</v>
      </c>
      <c r="C40">
        <v>3.0000000000000001E-3</v>
      </c>
      <c r="D40">
        <v>3.0000000000000001E-3</v>
      </c>
      <c r="E40">
        <v>3.0000000000000001E-3</v>
      </c>
      <c r="F40">
        <v>4.0000000000000001E-3</v>
      </c>
      <c r="G40">
        <v>5.0000000000000001E-3</v>
      </c>
      <c r="H40">
        <v>6.0000000000000001E-3</v>
      </c>
      <c r="I40">
        <v>6.0000000000000001E-3</v>
      </c>
      <c r="J40">
        <v>6.0000000000000001E-3</v>
      </c>
      <c r="K40">
        <v>3.5000000000000003E-2</v>
      </c>
      <c r="L40">
        <v>0.42</v>
      </c>
      <c r="M40">
        <v>7.7679999999999998</v>
      </c>
      <c r="N40">
        <v>93.52</v>
      </c>
      <c r="R40" t="s">
        <v>51</v>
      </c>
      <c r="T40">
        <v>0.19900000000000001</v>
      </c>
      <c r="U40">
        <v>0.17899999999999999</v>
      </c>
      <c r="V40">
        <v>0.16400000000000001</v>
      </c>
      <c r="W40">
        <v>0.16800000000000001</v>
      </c>
      <c r="X40">
        <v>0.23100000000000001</v>
      </c>
      <c r="Y40">
        <v>0.28299999999999997</v>
      </c>
      <c r="Z40">
        <v>0.29699999999999999</v>
      </c>
      <c r="AA40">
        <v>0.27400000000000002</v>
      </c>
      <c r="AB40">
        <v>1.7949999999999999</v>
      </c>
      <c r="AC40">
        <v>1.29</v>
      </c>
      <c r="AD40">
        <v>125.748</v>
      </c>
      <c r="AE40">
        <v>90.58</v>
      </c>
    </row>
    <row r="41" spans="1:31" x14ac:dyDescent="0.35">
      <c r="A41" t="s">
        <v>52</v>
      </c>
      <c r="C41">
        <v>3.0000000000000001E-3</v>
      </c>
      <c r="D41">
        <v>4.0000000000000001E-3</v>
      </c>
      <c r="E41">
        <v>4.0000000000000001E-3</v>
      </c>
      <c r="F41">
        <v>1E-3</v>
      </c>
      <c r="G41">
        <v>3.0000000000000001E-3</v>
      </c>
      <c r="H41">
        <v>4.0000000000000001E-3</v>
      </c>
      <c r="I41">
        <v>5.0000000000000001E-3</v>
      </c>
      <c r="J41">
        <v>6.0000000000000001E-3</v>
      </c>
      <c r="K41">
        <v>3.1E-2</v>
      </c>
      <c r="L41">
        <v>0.37</v>
      </c>
      <c r="M41">
        <v>7.798</v>
      </c>
      <c r="N41">
        <v>93.89</v>
      </c>
      <c r="R41" t="s">
        <v>52</v>
      </c>
      <c r="T41">
        <v>6.7000000000000004E-2</v>
      </c>
      <c r="U41">
        <v>0.11</v>
      </c>
      <c r="V41">
        <v>9.9000000000000005E-2</v>
      </c>
      <c r="W41">
        <v>0.05</v>
      </c>
      <c r="X41">
        <v>0.105</v>
      </c>
      <c r="Y41">
        <v>9.8000000000000004E-2</v>
      </c>
      <c r="Z41">
        <v>9.1999999999999998E-2</v>
      </c>
      <c r="AA41">
        <v>0.113</v>
      </c>
      <c r="AB41">
        <v>0.73399999999999999</v>
      </c>
      <c r="AC41">
        <v>0.53</v>
      </c>
      <c r="AD41">
        <v>126.482</v>
      </c>
      <c r="AE41">
        <v>91.11</v>
      </c>
    </row>
    <row r="42" spans="1:31" x14ac:dyDescent="0.35">
      <c r="A42" t="s">
        <v>53</v>
      </c>
      <c r="C42">
        <v>4.0000000000000001E-3</v>
      </c>
      <c r="D42">
        <v>8.0000000000000002E-3</v>
      </c>
      <c r="E42">
        <v>0</v>
      </c>
      <c r="F42">
        <v>8.9999999999999993E-3</v>
      </c>
      <c r="G42">
        <v>2E-3</v>
      </c>
      <c r="H42">
        <v>1E-3</v>
      </c>
      <c r="I42">
        <v>2E-3</v>
      </c>
      <c r="J42">
        <v>3.0000000000000001E-3</v>
      </c>
      <c r="K42">
        <v>0.03</v>
      </c>
      <c r="L42">
        <v>0.37</v>
      </c>
      <c r="M42">
        <v>7.8289999999999997</v>
      </c>
      <c r="N42">
        <v>94.26</v>
      </c>
      <c r="R42" t="s">
        <v>53</v>
      </c>
      <c r="T42">
        <v>8.1000000000000003E-2</v>
      </c>
      <c r="U42">
        <v>0.122</v>
      </c>
      <c r="V42">
        <v>1.2E-2</v>
      </c>
      <c r="W42">
        <v>0.13600000000000001</v>
      </c>
      <c r="X42">
        <v>3.3000000000000002E-2</v>
      </c>
      <c r="Y42">
        <v>3.7999999999999999E-2</v>
      </c>
      <c r="Z42">
        <v>4.2000000000000003E-2</v>
      </c>
      <c r="AA42">
        <v>5.0999999999999997E-2</v>
      </c>
      <c r="AB42">
        <v>0.51500000000000001</v>
      </c>
      <c r="AC42">
        <v>0.37</v>
      </c>
      <c r="AD42">
        <v>126.997</v>
      </c>
      <c r="AE42">
        <v>91.48</v>
      </c>
    </row>
    <row r="43" spans="1:31" x14ac:dyDescent="0.35">
      <c r="A43" t="s">
        <v>54</v>
      </c>
      <c r="C43">
        <v>2E-3</v>
      </c>
      <c r="D43">
        <v>3.0000000000000001E-3</v>
      </c>
      <c r="E43">
        <v>3.0000000000000001E-3</v>
      </c>
      <c r="F43">
        <v>3.0000000000000001E-3</v>
      </c>
      <c r="G43">
        <v>5.0000000000000001E-3</v>
      </c>
      <c r="H43">
        <v>5.0000000000000001E-3</v>
      </c>
      <c r="I43">
        <v>6.0000000000000001E-3</v>
      </c>
      <c r="J43">
        <v>3.0000000000000001E-3</v>
      </c>
      <c r="K43">
        <v>0.03</v>
      </c>
      <c r="L43">
        <v>0.36</v>
      </c>
      <c r="M43">
        <v>7.8579999999999997</v>
      </c>
      <c r="N43">
        <v>94.62</v>
      </c>
      <c r="R43" t="s">
        <v>54</v>
      </c>
      <c r="T43">
        <v>7.0999999999999994E-2</v>
      </c>
      <c r="U43">
        <v>9.0999999999999998E-2</v>
      </c>
      <c r="V43">
        <v>7.5999999999999998E-2</v>
      </c>
      <c r="W43">
        <v>5.7000000000000002E-2</v>
      </c>
      <c r="X43">
        <v>0.151</v>
      </c>
      <c r="Y43">
        <v>0.108</v>
      </c>
      <c r="Z43">
        <v>0.182</v>
      </c>
      <c r="AA43">
        <v>8.5999999999999993E-2</v>
      </c>
      <c r="AB43">
        <v>0.82099999999999995</v>
      </c>
      <c r="AC43">
        <v>0.59</v>
      </c>
      <c r="AD43">
        <v>127.81699999999999</v>
      </c>
      <c r="AE43">
        <v>92.07</v>
      </c>
    </row>
    <row r="44" spans="1:31" x14ac:dyDescent="0.35">
      <c r="A44" t="s">
        <v>55</v>
      </c>
      <c r="C44">
        <v>3.0000000000000001E-3</v>
      </c>
      <c r="D44">
        <v>4.0000000000000001E-3</v>
      </c>
      <c r="E44">
        <v>5.0000000000000001E-3</v>
      </c>
      <c r="F44">
        <v>5.0000000000000001E-3</v>
      </c>
      <c r="G44">
        <v>3.0000000000000001E-3</v>
      </c>
      <c r="H44">
        <v>4.0000000000000001E-3</v>
      </c>
      <c r="I44">
        <v>4.0000000000000001E-3</v>
      </c>
      <c r="J44">
        <v>1E-3</v>
      </c>
      <c r="K44">
        <v>2.9000000000000001E-2</v>
      </c>
      <c r="L44">
        <v>0.35</v>
      </c>
      <c r="M44">
        <v>7.8879999999999999</v>
      </c>
      <c r="N44">
        <v>94.97</v>
      </c>
      <c r="R44" t="s">
        <v>55</v>
      </c>
      <c r="T44">
        <v>6.0999999999999999E-2</v>
      </c>
      <c r="U44">
        <v>7.5999999999999998E-2</v>
      </c>
      <c r="V44">
        <v>9.1999999999999998E-2</v>
      </c>
      <c r="W44">
        <v>9.2999999999999999E-2</v>
      </c>
      <c r="X44">
        <v>6.6000000000000003E-2</v>
      </c>
      <c r="Y44">
        <v>8.2000000000000003E-2</v>
      </c>
      <c r="Z44">
        <v>8.2000000000000003E-2</v>
      </c>
      <c r="AA44">
        <v>2.1000000000000001E-2</v>
      </c>
      <c r="AB44">
        <v>0.57399999999999995</v>
      </c>
      <c r="AC44">
        <v>0.41</v>
      </c>
      <c r="AD44">
        <v>128.392</v>
      </c>
      <c r="AE44">
        <v>92.48</v>
      </c>
    </row>
    <row r="45" spans="1:31" x14ac:dyDescent="0.35">
      <c r="A45" t="s">
        <v>56</v>
      </c>
      <c r="C45">
        <v>1E-3</v>
      </c>
      <c r="D45">
        <v>3.0000000000000001E-3</v>
      </c>
      <c r="E45">
        <v>2E-3</v>
      </c>
      <c r="F45">
        <v>3.0000000000000001E-3</v>
      </c>
      <c r="G45">
        <v>1E-3</v>
      </c>
      <c r="H45">
        <v>8.0000000000000002E-3</v>
      </c>
      <c r="I45">
        <v>2E-3</v>
      </c>
      <c r="J45">
        <v>5.0000000000000001E-3</v>
      </c>
      <c r="K45">
        <v>2.5999999999999999E-2</v>
      </c>
      <c r="L45">
        <v>0.31</v>
      </c>
      <c r="M45">
        <v>7.9130000000000003</v>
      </c>
      <c r="N45">
        <v>95.28</v>
      </c>
      <c r="R45" t="s">
        <v>56</v>
      </c>
      <c r="T45">
        <v>4.2000000000000003E-2</v>
      </c>
      <c r="U45">
        <v>2.8000000000000001E-2</v>
      </c>
      <c r="V45">
        <v>6.8000000000000005E-2</v>
      </c>
      <c r="W45">
        <v>4.7E-2</v>
      </c>
      <c r="X45">
        <v>3.4000000000000002E-2</v>
      </c>
      <c r="Y45">
        <v>7.0999999999999994E-2</v>
      </c>
      <c r="Z45">
        <v>5.6000000000000001E-2</v>
      </c>
      <c r="AA45">
        <v>7.0000000000000007E-2</v>
      </c>
      <c r="AB45">
        <v>0.41599999999999998</v>
      </c>
      <c r="AC45">
        <v>0.3</v>
      </c>
      <c r="AD45">
        <v>128.80699999999999</v>
      </c>
      <c r="AE45">
        <v>92.78</v>
      </c>
    </row>
    <row r="46" spans="1:31" x14ac:dyDescent="0.35">
      <c r="A46" t="s">
        <v>57</v>
      </c>
      <c r="C46">
        <v>1E-3</v>
      </c>
      <c r="D46">
        <v>3.0000000000000001E-3</v>
      </c>
      <c r="E46">
        <v>5.0000000000000001E-3</v>
      </c>
      <c r="F46">
        <v>2E-3</v>
      </c>
      <c r="G46">
        <v>2E-3</v>
      </c>
      <c r="H46">
        <v>5.0000000000000001E-3</v>
      </c>
      <c r="I46">
        <v>3.0000000000000001E-3</v>
      </c>
      <c r="J46">
        <v>5.0000000000000001E-3</v>
      </c>
      <c r="K46">
        <v>2.5000000000000001E-2</v>
      </c>
      <c r="L46">
        <v>0.3</v>
      </c>
      <c r="M46">
        <v>7.9390000000000001</v>
      </c>
      <c r="N46">
        <v>95.58</v>
      </c>
      <c r="R46" t="s">
        <v>57</v>
      </c>
      <c r="T46">
        <v>2.5999999999999999E-2</v>
      </c>
      <c r="U46">
        <v>0.11799999999999999</v>
      </c>
      <c r="V46">
        <v>0.17199999999999999</v>
      </c>
      <c r="W46">
        <v>6.6000000000000003E-2</v>
      </c>
      <c r="X46">
        <v>7.1999999999999995E-2</v>
      </c>
      <c r="Y46">
        <v>0.154</v>
      </c>
      <c r="Z46">
        <v>7.3999999999999996E-2</v>
      </c>
      <c r="AA46">
        <v>0.20499999999999999</v>
      </c>
      <c r="AB46">
        <v>0.88700000000000001</v>
      </c>
      <c r="AC46">
        <v>0.64</v>
      </c>
      <c r="AD46">
        <v>129.69399999999999</v>
      </c>
      <c r="AE46">
        <v>93.42</v>
      </c>
    </row>
    <row r="47" spans="1:31" x14ac:dyDescent="0.35">
      <c r="A47" t="s">
        <v>58</v>
      </c>
      <c r="C47">
        <v>3.0000000000000001E-3</v>
      </c>
      <c r="D47">
        <v>3.0000000000000001E-3</v>
      </c>
      <c r="E47">
        <v>2E-3</v>
      </c>
      <c r="F47">
        <v>3.0000000000000001E-3</v>
      </c>
      <c r="G47">
        <v>3.0000000000000001E-3</v>
      </c>
      <c r="H47">
        <v>4.0000000000000001E-3</v>
      </c>
      <c r="I47">
        <v>3.0000000000000001E-3</v>
      </c>
      <c r="J47">
        <v>3.0000000000000001E-3</v>
      </c>
      <c r="K47">
        <v>2.4E-2</v>
      </c>
      <c r="L47">
        <v>0.28999999999999998</v>
      </c>
      <c r="M47">
        <v>7.9619999999999997</v>
      </c>
      <c r="N47">
        <v>95.87</v>
      </c>
      <c r="R47" t="s">
        <v>58</v>
      </c>
      <c r="T47">
        <v>5.3999999999999999E-2</v>
      </c>
      <c r="U47">
        <v>5.3999999999999999E-2</v>
      </c>
      <c r="V47">
        <v>4.7E-2</v>
      </c>
      <c r="W47">
        <v>6.9000000000000006E-2</v>
      </c>
      <c r="X47">
        <v>7.9000000000000001E-2</v>
      </c>
      <c r="Y47">
        <v>9.1999999999999998E-2</v>
      </c>
      <c r="Z47">
        <v>9.7000000000000003E-2</v>
      </c>
      <c r="AA47">
        <v>8.5999999999999993E-2</v>
      </c>
      <c r="AB47">
        <v>0.57699999999999996</v>
      </c>
      <c r="AC47">
        <v>0.42</v>
      </c>
      <c r="AD47">
        <v>130.27199999999999</v>
      </c>
      <c r="AE47">
        <v>93.84</v>
      </c>
    </row>
    <row r="48" spans="1:31" x14ac:dyDescent="0.35">
      <c r="A48" t="s">
        <v>59</v>
      </c>
      <c r="C48">
        <v>3.0000000000000001E-3</v>
      </c>
      <c r="D48">
        <v>2E-3</v>
      </c>
      <c r="E48">
        <v>3.0000000000000001E-3</v>
      </c>
      <c r="F48">
        <v>2E-3</v>
      </c>
      <c r="G48">
        <v>5.0000000000000001E-3</v>
      </c>
      <c r="H48">
        <v>1E-3</v>
      </c>
      <c r="I48">
        <v>3.0000000000000001E-3</v>
      </c>
      <c r="J48">
        <v>4.0000000000000001E-3</v>
      </c>
      <c r="K48">
        <v>2.3E-2</v>
      </c>
      <c r="L48">
        <v>0.28000000000000003</v>
      </c>
      <c r="M48">
        <v>7.9859999999999998</v>
      </c>
      <c r="N48">
        <v>96.15</v>
      </c>
      <c r="R48" t="s">
        <v>59</v>
      </c>
      <c r="T48">
        <v>3.5000000000000003E-2</v>
      </c>
      <c r="U48">
        <v>2.8000000000000001E-2</v>
      </c>
      <c r="V48">
        <v>0.03</v>
      </c>
      <c r="W48">
        <v>2.3E-2</v>
      </c>
      <c r="X48">
        <v>6.7000000000000004E-2</v>
      </c>
      <c r="Y48">
        <v>2.5999999999999999E-2</v>
      </c>
      <c r="Z48">
        <v>0.05</v>
      </c>
      <c r="AA48">
        <v>6.2E-2</v>
      </c>
      <c r="AB48">
        <v>0.32100000000000001</v>
      </c>
      <c r="AC48">
        <v>0.23</v>
      </c>
      <c r="AD48">
        <v>130.59299999999999</v>
      </c>
      <c r="AE48">
        <v>94.07</v>
      </c>
    </row>
    <row r="49" spans="1:31" x14ac:dyDescent="0.35">
      <c r="A49" t="s">
        <v>60</v>
      </c>
      <c r="C49">
        <v>2E-3</v>
      </c>
      <c r="D49">
        <v>2E-3</v>
      </c>
      <c r="E49">
        <v>3.0000000000000001E-3</v>
      </c>
      <c r="F49">
        <v>3.0000000000000001E-3</v>
      </c>
      <c r="G49">
        <v>2E-3</v>
      </c>
      <c r="H49">
        <v>2E-3</v>
      </c>
      <c r="I49">
        <v>5.0000000000000001E-3</v>
      </c>
      <c r="J49">
        <v>3.0000000000000001E-3</v>
      </c>
      <c r="K49">
        <v>2.1999999999999999E-2</v>
      </c>
      <c r="L49">
        <v>0.26</v>
      </c>
      <c r="M49">
        <v>8.0079999999999991</v>
      </c>
      <c r="N49">
        <v>96.42</v>
      </c>
      <c r="R49" t="s">
        <v>60</v>
      </c>
      <c r="T49">
        <v>0.126</v>
      </c>
      <c r="U49">
        <v>0.124</v>
      </c>
      <c r="V49">
        <v>0.14099999999999999</v>
      </c>
      <c r="W49">
        <v>0.13800000000000001</v>
      </c>
      <c r="X49">
        <v>0.13900000000000001</v>
      </c>
      <c r="Y49">
        <v>0.14599999999999999</v>
      </c>
      <c r="Z49">
        <v>0.217</v>
      </c>
      <c r="AA49">
        <v>0.158</v>
      </c>
      <c r="AB49">
        <v>1.1879999999999999</v>
      </c>
      <c r="AC49">
        <v>0.86</v>
      </c>
      <c r="AD49">
        <v>131.78100000000001</v>
      </c>
      <c r="AE49">
        <v>94.92</v>
      </c>
    </row>
    <row r="50" spans="1:31" x14ac:dyDescent="0.35">
      <c r="A50" t="s">
        <v>61</v>
      </c>
      <c r="C50">
        <v>1E-3</v>
      </c>
      <c r="D50">
        <v>1E-3</v>
      </c>
      <c r="E50">
        <v>3.0000000000000001E-3</v>
      </c>
      <c r="F50">
        <v>2E-3</v>
      </c>
      <c r="G50">
        <v>4.0000000000000001E-3</v>
      </c>
      <c r="H50">
        <v>3.0000000000000001E-3</v>
      </c>
      <c r="I50">
        <v>4.0000000000000001E-3</v>
      </c>
      <c r="J50">
        <v>3.0000000000000001E-3</v>
      </c>
      <c r="K50">
        <v>2.1999999999999999E-2</v>
      </c>
      <c r="L50">
        <v>0.26</v>
      </c>
      <c r="M50">
        <v>8.0289999999999999</v>
      </c>
      <c r="N50">
        <v>96.68</v>
      </c>
      <c r="R50" t="s">
        <v>61</v>
      </c>
      <c r="T50">
        <v>3.1E-2</v>
      </c>
      <c r="U50">
        <v>1.7000000000000001E-2</v>
      </c>
      <c r="V50">
        <v>0.09</v>
      </c>
      <c r="W50">
        <v>7.3999999999999996E-2</v>
      </c>
      <c r="X50">
        <v>0.161</v>
      </c>
      <c r="Y50">
        <v>0.13300000000000001</v>
      </c>
      <c r="Z50">
        <v>0.16</v>
      </c>
      <c r="AA50">
        <v>9.7000000000000003E-2</v>
      </c>
      <c r="AB50">
        <v>0.76300000000000001</v>
      </c>
      <c r="AC50">
        <v>0.55000000000000004</v>
      </c>
      <c r="AD50">
        <v>132.54400000000001</v>
      </c>
      <c r="AE50">
        <v>95.47</v>
      </c>
    </row>
    <row r="51" spans="1:31" x14ac:dyDescent="0.35">
      <c r="A51" t="s">
        <v>62</v>
      </c>
      <c r="C51">
        <v>2E-3</v>
      </c>
      <c r="D51">
        <v>2E-3</v>
      </c>
      <c r="E51">
        <v>2E-3</v>
      </c>
      <c r="F51">
        <v>2E-3</v>
      </c>
      <c r="G51">
        <v>3.0000000000000001E-3</v>
      </c>
      <c r="H51">
        <v>3.0000000000000001E-3</v>
      </c>
      <c r="I51">
        <v>3.0000000000000001E-3</v>
      </c>
      <c r="J51">
        <v>3.0000000000000001E-3</v>
      </c>
      <c r="K51">
        <v>0.02</v>
      </c>
      <c r="L51">
        <v>0.24</v>
      </c>
      <c r="M51">
        <v>8.0500000000000007</v>
      </c>
      <c r="N51">
        <v>96.92</v>
      </c>
      <c r="R51" t="s">
        <v>62</v>
      </c>
      <c r="T51">
        <v>5.8999999999999997E-2</v>
      </c>
      <c r="U51">
        <v>5.8999999999999997E-2</v>
      </c>
      <c r="V51">
        <v>7.0999999999999994E-2</v>
      </c>
      <c r="W51">
        <v>0.08</v>
      </c>
      <c r="X51">
        <v>8.6999999999999994E-2</v>
      </c>
      <c r="Y51">
        <v>0.106</v>
      </c>
      <c r="Z51">
        <v>9.2999999999999999E-2</v>
      </c>
      <c r="AA51">
        <v>8.2000000000000003E-2</v>
      </c>
      <c r="AB51">
        <v>0.63600000000000001</v>
      </c>
      <c r="AC51">
        <v>0.46</v>
      </c>
      <c r="AD51">
        <v>133.18</v>
      </c>
      <c r="AE51">
        <v>95.93</v>
      </c>
    </row>
    <row r="52" spans="1:31" x14ac:dyDescent="0.35">
      <c r="A52" t="s">
        <v>63</v>
      </c>
      <c r="C52">
        <v>3.0000000000000001E-3</v>
      </c>
      <c r="D52">
        <v>2E-3</v>
      </c>
      <c r="E52">
        <v>2E-3</v>
      </c>
      <c r="F52">
        <v>2E-3</v>
      </c>
      <c r="G52">
        <v>1E-3</v>
      </c>
      <c r="H52">
        <v>3.0000000000000001E-3</v>
      </c>
      <c r="I52">
        <v>3.0000000000000001E-3</v>
      </c>
      <c r="J52">
        <v>3.0000000000000001E-3</v>
      </c>
      <c r="K52">
        <v>0.02</v>
      </c>
      <c r="L52">
        <v>0.24</v>
      </c>
      <c r="M52">
        <v>8.0690000000000008</v>
      </c>
      <c r="N52">
        <v>97.16</v>
      </c>
      <c r="R52" t="s">
        <v>63</v>
      </c>
      <c r="T52">
        <v>6.7000000000000004E-2</v>
      </c>
      <c r="U52">
        <v>5.6000000000000001E-2</v>
      </c>
      <c r="V52">
        <v>5.3999999999999999E-2</v>
      </c>
      <c r="W52">
        <v>4.5999999999999999E-2</v>
      </c>
      <c r="X52">
        <v>2.9000000000000001E-2</v>
      </c>
      <c r="Y52">
        <v>6.0999999999999999E-2</v>
      </c>
      <c r="Z52">
        <v>4.9000000000000002E-2</v>
      </c>
      <c r="AA52">
        <v>7.0000000000000007E-2</v>
      </c>
      <c r="AB52">
        <v>0.43099999999999999</v>
      </c>
      <c r="AC52">
        <v>0.31</v>
      </c>
      <c r="AD52">
        <v>133.61099999999999</v>
      </c>
      <c r="AE52">
        <v>96.24</v>
      </c>
    </row>
    <row r="53" spans="1:31" x14ac:dyDescent="0.35">
      <c r="A53" t="s">
        <v>64</v>
      </c>
      <c r="C53">
        <v>2E-3</v>
      </c>
      <c r="D53">
        <v>2E-3</v>
      </c>
      <c r="E53">
        <v>2E-3</v>
      </c>
      <c r="F53">
        <v>2E-3</v>
      </c>
      <c r="G53">
        <v>3.0000000000000001E-3</v>
      </c>
      <c r="H53">
        <v>3.0000000000000001E-3</v>
      </c>
      <c r="I53">
        <v>3.0000000000000001E-3</v>
      </c>
      <c r="J53">
        <v>2E-3</v>
      </c>
      <c r="K53">
        <v>1.9E-2</v>
      </c>
      <c r="L53">
        <v>0.23</v>
      </c>
      <c r="M53">
        <v>8.0890000000000004</v>
      </c>
      <c r="N53">
        <v>97.39</v>
      </c>
      <c r="R53" t="s">
        <v>64</v>
      </c>
      <c r="T53">
        <v>5.0000000000000001E-3</v>
      </c>
      <c r="U53">
        <v>7.0000000000000001E-3</v>
      </c>
      <c r="V53">
        <v>8.0000000000000002E-3</v>
      </c>
      <c r="W53">
        <v>8.0000000000000002E-3</v>
      </c>
      <c r="X53">
        <v>8.9999999999999993E-3</v>
      </c>
      <c r="Y53">
        <v>0.01</v>
      </c>
      <c r="Z53">
        <v>8.9999999999999993E-3</v>
      </c>
      <c r="AA53">
        <v>8.0000000000000002E-3</v>
      </c>
      <c r="AB53">
        <v>6.5000000000000002E-2</v>
      </c>
      <c r="AC53">
        <v>0.05</v>
      </c>
      <c r="AD53">
        <v>133.67599999999999</v>
      </c>
      <c r="AE53">
        <v>96.29</v>
      </c>
    </row>
    <row r="54" spans="1:31" x14ac:dyDescent="0.35">
      <c r="A54" t="s">
        <v>65</v>
      </c>
      <c r="C54">
        <v>3.0000000000000001E-3</v>
      </c>
      <c r="D54">
        <v>3.0000000000000001E-3</v>
      </c>
      <c r="E54">
        <v>3.0000000000000001E-3</v>
      </c>
      <c r="F54">
        <v>2E-3</v>
      </c>
      <c r="G54">
        <v>2E-3</v>
      </c>
      <c r="H54">
        <v>2E-3</v>
      </c>
      <c r="I54">
        <v>2E-3</v>
      </c>
      <c r="J54">
        <v>1E-3</v>
      </c>
      <c r="K54">
        <v>1.7000000000000001E-2</v>
      </c>
      <c r="L54">
        <v>0.21</v>
      </c>
      <c r="M54">
        <v>8.1059999999999999</v>
      </c>
      <c r="N54">
        <v>97.6</v>
      </c>
      <c r="R54" t="s">
        <v>65</v>
      </c>
      <c r="T54">
        <v>3.2000000000000001E-2</v>
      </c>
      <c r="U54">
        <v>2.7E-2</v>
      </c>
      <c r="V54">
        <v>2.5000000000000001E-2</v>
      </c>
      <c r="W54">
        <v>2.1000000000000001E-2</v>
      </c>
      <c r="X54">
        <v>1.7999999999999999E-2</v>
      </c>
      <c r="Y54">
        <v>0.02</v>
      </c>
      <c r="Z54">
        <v>1.9E-2</v>
      </c>
      <c r="AA54">
        <v>1.4E-2</v>
      </c>
      <c r="AB54">
        <v>0.17799999999999999</v>
      </c>
      <c r="AC54">
        <v>0.13</v>
      </c>
      <c r="AD54">
        <v>133.85300000000001</v>
      </c>
      <c r="AE54">
        <v>96.42</v>
      </c>
    </row>
    <row r="55" spans="1:31" x14ac:dyDescent="0.35">
      <c r="A55" t="s">
        <v>66</v>
      </c>
      <c r="C55">
        <v>2E-3</v>
      </c>
      <c r="D55">
        <v>2E-3</v>
      </c>
      <c r="E55">
        <v>2E-3</v>
      </c>
      <c r="F55">
        <v>1E-3</v>
      </c>
      <c r="G55">
        <v>3.0000000000000001E-3</v>
      </c>
      <c r="H55">
        <v>2E-3</v>
      </c>
      <c r="I55">
        <v>2E-3</v>
      </c>
      <c r="J55">
        <v>2E-3</v>
      </c>
      <c r="K55">
        <v>1.6E-2</v>
      </c>
      <c r="L55">
        <v>0.2</v>
      </c>
      <c r="M55">
        <v>8.1219999999999999</v>
      </c>
      <c r="N55">
        <v>97.8</v>
      </c>
      <c r="R55" t="s">
        <v>66</v>
      </c>
      <c r="T55">
        <v>6.7000000000000004E-2</v>
      </c>
      <c r="U55">
        <v>4.9000000000000002E-2</v>
      </c>
      <c r="V55">
        <v>4.4999999999999998E-2</v>
      </c>
      <c r="W55">
        <v>2.1999999999999999E-2</v>
      </c>
      <c r="X55">
        <v>5.8000000000000003E-2</v>
      </c>
      <c r="Y55">
        <v>5.6000000000000001E-2</v>
      </c>
      <c r="Z55">
        <v>6.9000000000000006E-2</v>
      </c>
      <c r="AA55">
        <v>4.5999999999999999E-2</v>
      </c>
      <c r="AB55">
        <v>0.41199999999999998</v>
      </c>
      <c r="AC55">
        <v>0.3</v>
      </c>
      <c r="AD55">
        <v>134.26499999999999</v>
      </c>
      <c r="AE55">
        <v>96.71</v>
      </c>
    </row>
    <row r="56" spans="1:31" x14ac:dyDescent="0.35">
      <c r="A56" t="s">
        <v>67</v>
      </c>
      <c r="C56">
        <v>2E-3</v>
      </c>
      <c r="D56">
        <v>2E-3</v>
      </c>
      <c r="E56">
        <v>2E-3</v>
      </c>
      <c r="F56">
        <v>2E-3</v>
      </c>
      <c r="G56">
        <v>2E-3</v>
      </c>
      <c r="H56">
        <v>3.0000000000000001E-3</v>
      </c>
      <c r="I56">
        <v>3.0000000000000001E-3</v>
      </c>
      <c r="J56">
        <v>1E-3</v>
      </c>
      <c r="K56">
        <v>1.6E-2</v>
      </c>
      <c r="L56">
        <v>0.19</v>
      </c>
      <c r="M56">
        <v>8.1379999999999999</v>
      </c>
      <c r="N56">
        <v>97.98</v>
      </c>
      <c r="R56" t="s">
        <v>67</v>
      </c>
      <c r="T56">
        <v>5.2999999999999999E-2</v>
      </c>
      <c r="U56">
        <v>6.9000000000000006E-2</v>
      </c>
      <c r="V56">
        <v>4.2000000000000003E-2</v>
      </c>
      <c r="W56">
        <v>5.3999999999999999E-2</v>
      </c>
      <c r="X56">
        <v>5.2999999999999999E-2</v>
      </c>
      <c r="Y56">
        <v>9.7000000000000003E-2</v>
      </c>
      <c r="Z56">
        <v>8.2000000000000003E-2</v>
      </c>
      <c r="AA56">
        <v>0.02</v>
      </c>
      <c r="AB56">
        <v>0.47099999999999997</v>
      </c>
      <c r="AC56">
        <v>0.34</v>
      </c>
      <c r="AD56">
        <v>134.73599999999999</v>
      </c>
      <c r="AE56">
        <v>97.05</v>
      </c>
    </row>
    <row r="57" spans="1:31" x14ac:dyDescent="0.35">
      <c r="A57" t="s">
        <v>68</v>
      </c>
      <c r="C57">
        <v>0</v>
      </c>
      <c r="D57">
        <v>1E-3</v>
      </c>
      <c r="E57">
        <v>1E-3</v>
      </c>
      <c r="F57">
        <v>1E-3</v>
      </c>
      <c r="G57">
        <v>4.0000000000000001E-3</v>
      </c>
      <c r="H57">
        <v>1E-3</v>
      </c>
      <c r="I57">
        <v>0</v>
      </c>
      <c r="J57">
        <v>7.0000000000000001E-3</v>
      </c>
      <c r="K57">
        <v>1.6E-2</v>
      </c>
      <c r="L57">
        <v>0.19</v>
      </c>
      <c r="M57">
        <v>8.1539999999999999</v>
      </c>
      <c r="N57">
        <v>98.17</v>
      </c>
      <c r="R57" t="s">
        <v>68</v>
      </c>
      <c r="T57">
        <v>1.9E-2</v>
      </c>
      <c r="U57">
        <v>3.7999999999999999E-2</v>
      </c>
      <c r="V57">
        <v>1.4999999999999999E-2</v>
      </c>
      <c r="W57">
        <v>3.5000000000000003E-2</v>
      </c>
      <c r="X57">
        <v>3.5999999999999997E-2</v>
      </c>
      <c r="Y57">
        <v>4.9000000000000002E-2</v>
      </c>
      <c r="Z57">
        <v>2.5999999999999999E-2</v>
      </c>
      <c r="AA57">
        <v>3.1E-2</v>
      </c>
      <c r="AB57">
        <v>0.248</v>
      </c>
      <c r="AC57">
        <v>0.18</v>
      </c>
      <c r="AD57">
        <v>134.98400000000001</v>
      </c>
      <c r="AE57">
        <v>97.23</v>
      </c>
    </row>
    <row r="58" spans="1:31" x14ac:dyDescent="0.35">
      <c r="A58" t="s">
        <v>69</v>
      </c>
      <c r="C58">
        <v>0</v>
      </c>
      <c r="D58">
        <v>2E-3</v>
      </c>
      <c r="E58">
        <v>3.0000000000000001E-3</v>
      </c>
      <c r="F58">
        <v>0</v>
      </c>
      <c r="G58">
        <v>0</v>
      </c>
      <c r="H58">
        <v>3.0000000000000001E-3</v>
      </c>
      <c r="I58">
        <v>3.0000000000000001E-3</v>
      </c>
      <c r="J58">
        <v>3.0000000000000001E-3</v>
      </c>
      <c r="K58">
        <v>1.4999999999999999E-2</v>
      </c>
      <c r="L58">
        <v>0.18</v>
      </c>
      <c r="M58">
        <v>8.1690000000000005</v>
      </c>
      <c r="N58">
        <v>98.36</v>
      </c>
      <c r="R58" t="s">
        <v>69</v>
      </c>
      <c r="T58">
        <v>0</v>
      </c>
      <c r="U58">
        <v>5.0000000000000001E-3</v>
      </c>
      <c r="V58">
        <v>7.0000000000000001E-3</v>
      </c>
      <c r="W58">
        <v>1E-3</v>
      </c>
      <c r="X58">
        <v>1E-3</v>
      </c>
      <c r="Y58">
        <v>7.0000000000000001E-3</v>
      </c>
      <c r="Z58">
        <v>7.0000000000000001E-3</v>
      </c>
      <c r="AA58">
        <v>7.0000000000000001E-3</v>
      </c>
      <c r="AB58">
        <v>3.5999999999999997E-2</v>
      </c>
      <c r="AC58">
        <v>0.03</v>
      </c>
      <c r="AD58">
        <v>135.01900000000001</v>
      </c>
      <c r="AE58">
        <v>97.26</v>
      </c>
    </row>
    <row r="59" spans="1:31" x14ac:dyDescent="0.35">
      <c r="A59" t="s">
        <v>70</v>
      </c>
      <c r="C59">
        <v>1E-3</v>
      </c>
      <c r="D59">
        <v>1E-3</v>
      </c>
      <c r="E59">
        <v>2E-3</v>
      </c>
      <c r="F59">
        <v>2E-3</v>
      </c>
      <c r="G59">
        <v>2E-3</v>
      </c>
      <c r="H59">
        <v>2E-3</v>
      </c>
      <c r="I59">
        <v>2E-3</v>
      </c>
      <c r="J59">
        <v>2E-3</v>
      </c>
      <c r="K59">
        <v>1.4E-2</v>
      </c>
      <c r="L59">
        <v>0.17</v>
      </c>
      <c r="M59">
        <v>8.1829999999999998</v>
      </c>
      <c r="N59">
        <v>98.52</v>
      </c>
      <c r="R59" t="s">
        <v>70</v>
      </c>
      <c r="T59">
        <v>1.0999999999999999E-2</v>
      </c>
      <c r="U59">
        <v>0.01</v>
      </c>
      <c r="V59">
        <v>1.2999999999999999E-2</v>
      </c>
      <c r="W59">
        <v>0.01</v>
      </c>
      <c r="X59">
        <v>1.7000000000000001E-2</v>
      </c>
      <c r="Y59">
        <v>8.9999999999999993E-3</v>
      </c>
      <c r="Z59">
        <v>1.7000000000000001E-2</v>
      </c>
      <c r="AA59">
        <v>1.2999999999999999E-2</v>
      </c>
      <c r="AB59">
        <v>0.10199999999999999</v>
      </c>
      <c r="AC59">
        <v>7.0000000000000007E-2</v>
      </c>
      <c r="AD59">
        <v>135.12100000000001</v>
      </c>
      <c r="AE59">
        <v>97.33</v>
      </c>
    </row>
    <row r="60" spans="1:31" x14ac:dyDescent="0.35">
      <c r="A60" t="s">
        <v>71</v>
      </c>
      <c r="C60">
        <v>2E-3</v>
      </c>
      <c r="D60">
        <v>2E-3</v>
      </c>
      <c r="E60">
        <v>2E-3</v>
      </c>
      <c r="F60">
        <v>2E-3</v>
      </c>
      <c r="G60">
        <v>2E-3</v>
      </c>
      <c r="H60">
        <v>2E-3</v>
      </c>
      <c r="I60">
        <v>2E-3</v>
      </c>
      <c r="J60">
        <v>1E-3</v>
      </c>
      <c r="K60">
        <v>1.4E-2</v>
      </c>
      <c r="L60">
        <v>0.17</v>
      </c>
      <c r="M60">
        <v>8.1969999999999992</v>
      </c>
      <c r="N60">
        <v>98.69</v>
      </c>
      <c r="R60" t="s">
        <v>71</v>
      </c>
      <c r="T60">
        <v>2E-3</v>
      </c>
      <c r="U60">
        <v>3.0000000000000001E-3</v>
      </c>
      <c r="V60">
        <v>3.0000000000000001E-3</v>
      </c>
      <c r="W60">
        <v>3.0000000000000001E-3</v>
      </c>
      <c r="X60">
        <v>4.0000000000000001E-3</v>
      </c>
      <c r="Y60">
        <v>4.0000000000000001E-3</v>
      </c>
      <c r="Z60">
        <v>4.0000000000000001E-3</v>
      </c>
      <c r="AA60">
        <v>4.0000000000000001E-3</v>
      </c>
      <c r="AB60">
        <v>2.5999999999999999E-2</v>
      </c>
      <c r="AC60">
        <v>0.02</v>
      </c>
      <c r="AD60">
        <v>135.14699999999999</v>
      </c>
      <c r="AE60">
        <v>97.35</v>
      </c>
    </row>
    <row r="61" spans="1:31" x14ac:dyDescent="0.35">
      <c r="A61" t="s">
        <v>72</v>
      </c>
      <c r="C61">
        <v>1E-3</v>
      </c>
      <c r="D61">
        <v>1E-3</v>
      </c>
      <c r="E61">
        <v>1E-3</v>
      </c>
      <c r="F61">
        <v>2E-3</v>
      </c>
      <c r="G61">
        <v>3.0000000000000001E-3</v>
      </c>
      <c r="H61">
        <v>3.0000000000000001E-3</v>
      </c>
      <c r="I61">
        <v>0</v>
      </c>
      <c r="J61">
        <v>2E-3</v>
      </c>
      <c r="K61">
        <v>1.4E-2</v>
      </c>
      <c r="L61">
        <v>0.16</v>
      </c>
      <c r="M61">
        <v>8.2110000000000003</v>
      </c>
      <c r="N61">
        <v>98.86</v>
      </c>
      <c r="R61" t="s">
        <v>72</v>
      </c>
      <c r="T61">
        <v>3.0000000000000001E-3</v>
      </c>
      <c r="U61">
        <v>2.4E-2</v>
      </c>
      <c r="V61">
        <v>1.7000000000000001E-2</v>
      </c>
      <c r="W61">
        <v>3.7999999999999999E-2</v>
      </c>
      <c r="X61">
        <v>6.2E-2</v>
      </c>
      <c r="Y61">
        <v>6.6000000000000003E-2</v>
      </c>
      <c r="Z61">
        <v>3.0000000000000001E-3</v>
      </c>
      <c r="AA61">
        <v>0.05</v>
      </c>
      <c r="AB61">
        <v>0.26100000000000001</v>
      </c>
      <c r="AC61">
        <v>0.19</v>
      </c>
      <c r="AD61">
        <v>135.40799999999999</v>
      </c>
      <c r="AE61">
        <v>97.54</v>
      </c>
    </row>
    <row r="62" spans="1:31" x14ac:dyDescent="0.35">
      <c r="A62" t="s">
        <v>73</v>
      </c>
      <c r="C62">
        <v>1E-3</v>
      </c>
      <c r="D62">
        <v>2E-3</v>
      </c>
      <c r="E62">
        <v>3.0000000000000001E-3</v>
      </c>
      <c r="F62">
        <v>2E-3</v>
      </c>
      <c r="G62">
        <v>2E-3</v>
      </c>
      <c r="H62">
        <v>2E-3</v>
      </c>
      <c r="I62">
        <v>1E-3</v>
      </c>
      <c r="J62">
        <v>1E-3</v>
      </c>
      <c r="K62">
        <v>1.2999999999999999E-2</v>
      </c>
      <c r="L62">
        <v>0.16</v>
      </c>
      <c r="M62">
        <v>8.2240000000000002</v>
      </c>
      <c r="N62">
        <v>99.02</v>
      </c>
      <c r="R62" t="s">
        <v>73</v>
      </c>
      <c r="T62">
        <v>3.4000000000000002E-2</v>
      </c>
      <c r="U62">
        <v>8.5000000000000006E-2</v>
      </c>
      <c r="V62">
        <v>8.5999999999999993E-2</v>
      </c>
      <c r="W62">
        <v>7.3999999999999996E-2</v>
      </c>
      <c r="X62">
        <v>5.8999999999999997E-2</v>
      </c>
      <c r="Y62">
        <v>0.06</v>
      </c>
      <c r="Z62">
        <v>3.9E-2</v>
      </c>
      <c r="AA62">
        <v>3.5000000000000003E-2</v>
      </c>
      <c r="AB62">
        <v>0.47299999999999998</v>
      </c>
      <c r="AC62">
        <v>0.34</v>
      </c>
      <c r="AD62">
        <v>135.881</v>
      </c>
      <c r="AE62">
        <v>97.88</v>
      </c>
    </row>
    <row r="63" spans="1:31" x14ac:dyDescent="0.35">
      <c r="A63" t="s">
        <v>74</v>
      </c>
      <c r="C63">
        <v>1E-3</v>
      </c>
      <c r="D63">
        <v>1E-3</v>
      </c>
      <c r="E63">
        <v>1E-3</v>
      </c>
      <c r="F63">
        <v>2E-3</v>
      </c>
      <c r="G63">
        <v>2E-3</v>
      </c>
      <c r="H63">
        <v>2E-3</v>
      </c>
      <c r="I63">
        <v>2E-3</v>
      </c>
      <c r="J63">
        <v>1E-3</v>
      </c>
      <c r="K63">
        <v>1.2E-2</v>
      </c>
      <c r="L63">
        <v>0.14000000000000001</v>
      </c>
      <c r="M63">
        <v>8.2360000000000007</v>
      </c>
      <c r="N63">
        <v>99.16</v>
      </c>
      <c r="R63" t="s">
        <v>74</v>
      </c>
      <c r="T63">
        <v>0.03</v>
      </c>
      <c r="U63">
        <v>1.4999999999999999E-2</v>
      </c>
      <c r="V63">
        <v>2.7E-2</v>
      </c>
      <c r="W63">
        <v>5.2999999999999999E-2</v>
      </c>
      <c r="X63">
        <v>4.7E-2</v>
      </c>
      <c r="Y63">
        <v>2.5999999999999999E-2</v>
      </c>
      <c r="Z63">
        <v>2.5000000000000001E-2</v>
      </c>
      <c r="AA63">
        <v>1.7999999999999999E-2</v>
      </c>
      <c r="AB63">
        <v>0.24099999999999999</v>
      </c>
      <c r="AC63">
        <v>0.17</v>
      </c>
      <c r="AD63">
        <v>136.12299999999999</v>
      </c>
      <c r="AE63">
        <v>98.05</v>
      </c>
    </row>
    <row r="64" spans="1:31" x14ac:dyDescent="0.35">
      <c r="A64" t="s">
        <v>75</v>
      </c>
      <c r="C64">
        <v>1E-3</v>
      </c>
      <c r="D64">
        <v>1E-3</v>
      </c>
      <c r="E64">
        <v>1E-3</v>
      </c>
      <c r="F64">
        <v>1E-3</v>
      </c>
      <c r="G64">
        <v>2E-3</v>
      </c>
      <c r="H64">
        <v>2E-3</v>
      </c>
      <c r="I64">
        <v>2E-3</v>
      </c>
      <c r="J64">
        <v>2E-3</v>
      </c>
      <c r="K64">
        <v>1.2E-2</v>
      </c>
      <c r="L64">
        <v>0.14000000000000001</v>
      </c>
      <c r="M64">
        <v>8.2479999999999993</v>
      </c>
      <c r="N64">
        <v>99.3</v>
      </c>
      <c r="R64" t="s">
        <v>75</v>
      </c>
      <c r="T64">
        <v>2.8000000000000001E-2</v>
      </c>
      <c r="U64">
        <v>2.8000000000000001E-2</v>
      </c>
      <c r="V64">
        <v>2.5999999999999999E-2</v>
      </c>
      <c r="W64">
        <v>2.7E-2</v>
      </c>
      <c r="X64">
        <v>0.03</v>
      </c>
      <c r="Y64">
        <v>3.2000000000000001E-2</v>
      </c>
      <c r="Z64">
        <v>0.03</v>
      </c>
      <c r="AA64">
        <v>2.5000000000000001E-2</v>
      </c>
      <c r="AB64">
        <v>0.22500000000000001</v>
      </c>
      <c r="AC64">
        <v>0.16</v>
      </c>
      <c r="AD64">
        <v>136.34800000000001</v>
      </c>
      <c r="AE64">
        <v>98.21</v>
      </c>
    </row>
    <row r="65" spans="1:31" x14ac:dyDescent="0.35">
      <c r="A65" t="s">
        <v>76</v>
      </c>
      <c r="C65">
        <v>1E-3</v>
      </c>
      <c r="D65">
        <v>1E-3</v>
      </c>
      <c r="E65">
        <v>1E-3</v>
      </c>
      <c r="F65">
        <v>1E-3</v>
      </c>
      <c r="G65">
        <v>1E-3</v>
      </c>
      <c r="H65">
        <v>1E-3</v>
      </c>
      <c r="I65">
        <v>1E-3</v>
      </c>
      <c r="J65">
        <v>1E-3</v>
      </c>
      <c r="K65">
        <v>1.0999999999999999E-2</v>
      </c>
      <c r="L65">
        <v>0.13</v>
      </c>
      <c r="M65">
        <v>8.2579999999999991</v>
      </c>
      <c r="N65">
        <v>99.43</v>
      </c>
      <c r="R65" t="s">
        <v>76</v>
      </c>
      <c r="T65">
        <v>6.0000000000000001E-3</v>
      </c>
      <c r="U65">
        <v>6.0000000000000001E-3</v>
      </c>
      <c r="V65">
        <v>6.0000000000000001E-3</v>
      </c>
      <c r="W65">
        <v>6.0000000000000001E-3</v>
      </c>
      <c r="X65">
        <v>5.0000000000000001E-3</v>
      </c>
      <c r="Y65">
        <v>5.0000000000000001E-3</v>
      </c>
      <c r="Z65">
        <v>5.0000000000000001E-3</v>
      </c>
      <c r="AA65">
        <v>5.0000000000000001E-3</v>
      </c>
      <c r="AB65">
        <v>4.3999999999999997E-2</v>
      </c>
      <c r="AC65">
        <v>0.03</v>
      </c>
      <c r="AD65">
        <v>136.392</v>
      </c>
      <c r="AE65">
        <v>98.24</v>
      </c>
    </row>
    <row r="66" spans="1:31" x14ac:dyDescent="0.35">
      <c r="A66" t="s">
        <v>77</v>
      </c>
      <c r="C66">
        <v>1E-3</v>
      </c>
      <c r="D66">
        <v>1E-3</v>
      </c>
      <c r="E66">
        <v>1E-3</v>
      </c>
      <c r="F66">
        <v>1E-3</v>
      </c>
      <c r="G66">
        <v>1E-3</v>
      </c>
      <c r="H66">
        <v>1E-3</v>
      </c>
      <c r="I66">
        <v>2E-3</v>
      </c>
      <c r="J66">
        <v>3.0000000000000001E-3</v>
      </c>
      <c r="K66">
        <v>0.01</v>
      </c>
      <c r="L66">
        <v>0.12</v>
      </c>
      <c r="M66">
        <v>8.2680000000000007</v>
      </c>
      <c r="N66">
        <v>99.55</v>
      </c>
      <c r="R66" t="s">
        <v>77</v>
      </c>
      <c r="T66">
        <v>0.109</v>
      </c>
      <c r="U66">
        <v>0.11799999999999999</v>
      </c>
      <c r="V66">
        <v>0.123</v>
      </c>
      <c r="W66">
        <v>0.122</v>
      </c>
      <c r="X66">
        <v>0.13400000000000001</v>
      </c>
      <c r="Y66">
        <v>0.14799999999999999</v>
      </c>
      <c r="Z66">
        <v>0.17699999999999999</v>
      </c>
      <c r="AA66">
        <v>0.18</v>
      </c>
      <c r="AB66">
        <v>1.111</v>
      </c>
      <c r="AC66">
        <v>0.8</v>
      </c>
      <c r="AD66">
        <v>137.50299999999999</v>
      </c>
      <c r="AE66">
        <v>99.04</v>
      </c>
    </row>
    <row r="67" spans="1:31" x14ac:dyDescent="0.35">
      <c r="A67" t="s">
        <v>78</v>
      </c>
      <c r="C67">
        <v>1E-3</v>
      </c>
      <c r="D67">
        <v>0</v>
      </c>
      <c r="E67">
        <v>0</v>
      </c>
      <c r="F67">
        <v>0</v>
      </c>
      <c r="G67">
        <v>2E-3</v>
      </c>
      <c r="H67">
        <v>1E-3</v>
      </c>
      <c r="I67">
        <v>1E-3</v>
      </c>
      <c r="J67">
        <v>1E-3</v>
      </c>
      <c r="K67">
        <v>6.0000000000000001E-3</v>
      </c>
      <c r="L67">
        <v>7.0000000000000007E-2</v>
      </c>
      <c r="M67">
        <v>8.2739999999999991</v>
      </c>
      <c r="N67">
        <v>99.62</v>
      </c>
      <c r="R67" t="s">
        <v>78</v>
      </c>
      <c r="T67">
        <v>5.1999999999999998E-2</v>
      </c>
      <c r="U67">
        <v>1.6E-2</v>
      </c>
      <c r="V67">
        <v>2.5000000000000001E-2</v>
      </c>
      <c r="W67">
        <v>4.7E-2</v>
      </c>
      <c r="X67">
        <v>6.4000000000000001E-2</v>
      </c>
      <c r="Y67">
        <v>8.5999999999999993E-2</v>
      </c>
      <c r="Z67">
        <v>0.10199999999999999</v>
      </c>
      <c r="AA67">
        <v>7.5999999999999998E-2</v>
      </c>
      <c r="AB67">
        <v>0.46700000000000003</v>
      </c>
      <c r="AC67">
        <v>0.34</v>
      </c>
      <c r="AD67">
        <v>137.96899999999999</v>
      </c>
      <c r="AE67">
        <v>99.38</v>
      </c>
    </row>
    <row r="68" spans="1:31" x14ac:dyDescent="0.35">
      <c r="A68" t="s">
        <v>79</v>
      </c>
      <c r="C68">
        <v>0</v>
      </c>
      <c r="D68">
        <v>0</v>
      </c>
      <c r="E68">
        <v>0</v>
      </c>
      <c r="F68">
        <v>3.0000000000000001E-3</v>
      </c>
      <c r="G68">
        <v>0</v>
      </c>
      <c r="H68">
        <v>3.0000000000000001E-3</v>
      </c>
      <c r="I68">
        <v>0</v>
      </c>
      <c r="J68">
        <v>0</v>
      </c>
      <c r="K68">
        <v>6.0000000000000001E-3</v>
      </c>
      <c r="L68">
        <v>7.0000000000000007E-2</v>
      </c>
      <c r="M68">
        <v>8.2799999999999994</v>
      </c>
      <c r="N68">
        <v>99.69</v>
      </c>
      <c r="R68" t="s">
        <v>79</v>
      </c>
      <c r="T68">
        <v>0</v>
      </c>
      <c r="U68">
        <v>0</v>
      </c>
      <c r="V68">
        <v>0</v>
      </c>
      <c r="W68">
        <v>6.0000000000000001E-3</v>
      </c>
      <c r="X68">
        <v>0</v>
      </c>
      <c r="Y68">
        <v>6.0000000000000001E-3</v>
      </c>
      <c r="Z68">
        <v>0</v>
      </c>
      <c r="AA68">
        <v>0</v>
      </c>
      <c r="AB68">
        <v>1.2E-2</v>
      </c>
      <c r="AC68">
        <v>0.01</v>
      </c>
      <c r="AD68">
        <v>137.982</v>
      </c>
      <c r="AE68">
        <v>99.39</v>
      </c>
    </row>
    <row r="69" spans="1:31" x14ac:dyDescent="0.35">
      <c r="A69" t="s">
        <v>80</v>
      </c>
      <c r="C69">
        <v>1E-3</v>
      </c>
      <c r="D69">
        <v>1E-3</v>
      </c>
      <c r="E69">
        <v>1E-3</v>
      </c>
      <c r="F69">
        <v>1E-3</v>
      </c>
      <c r="G69">
        <v>1E-3</v>
      </c>
      <c r="H69">
        <v>1E-3</v>
      </c>
      <c r="I69">
        <v>1E-3</v>
      </c>
      <c r="J69">
        <v>1E-3</v>
      </c>
      <c r="K69">
        <v>6.0000000000000001E-3</v>
      </c>
      <c r="L69">
        <v>7.0000000000000007E-2</v>
      </c>
      <c r="M69">
        <v>8.2859999999999996</v>
      </c>
      <c r="N69">
        <v>99.76</v>
      </c>
      <c r="R69" t="s">
        <v>80</v>
      </c>
      <c r="T69">
        <v>1.2999999999999999E-2</v>
      </c>
      <c r="U69">
        <v>1.4E-2</v>
      </c>
      <c r="V69">
        <v>1.4999999999999999E-2</v>
      </c>
      <c r="W69">
        <v>1.6E-2</v>
      </c>
      <c r="X69">
        <v>1.4999999999999999E-2</v>
      </c>
      <c r="Y69">
        <v>1.6E-2</v>
      </c>
      <c r="Z69">
        <v>1.4999999999999999E-2</v>
      </c>
      <c r="AA69">
        <v>1.4E-2</v>
      </c>
      <c r="AB69">
        <v>0.11799999999999999</v>
      </c>
      <c r="AC69">
        <v>0.08</v>
      </c>
      <c r="AD69">
        <v>138.1</v>
      </c>
      <c r="AE69">
        <v>99.47</v>
      </c>
    </row>
    <row r="70" spans="1:31" x14ac:dyDescent="0.35">
      <c r="A70" t="s">
        <v>81</v>
      </c>
      <c r="C70">
        <v>1E-3</v>
      </c>
      <c r="D70">
        <v>0</v>
      </c>
      <c r="E70">
        <v>0</v>
      </c>
      <c r="F70">
        <v>0</v>
      </c>
      <c r="G70">
        <v>0</v>
      </c>
      <c r="H70">
        <v>1E-3</v>
      </c>
      <c r="I70">
        <v>1E-3</v>
      </c>
      <c r="J70">
        <v>1E-3</v>
      </c>
      <c r="K70">
        <v>5.0000000000000001E-3</v>
      </c>
      <c r="L70">
        <v>0.06</v>
      </c>
      <c r="M70">
        <v>8.2899999999999991</v>
      </c>
      <c r="N70">
        <v>99.82</v>
      </c>
      <c r="R70" t="s">
        <v>81</v>
      </c>
      <c r="T70">
        <v>4.5999999999999999E-2</v>
      </c>
      <c r="U70">
        <v>1.4E-2</v>
      </c>
      <c r="V70">
        <v>6.0000000000000001E-3</v>
      </c>
      <c r="W70">
        <v>6.0000000000000001E-3</v>
      </c>
      <c r="X70">
        <v>8.0000000000000002E-3</v>
      </c>
      <c r="Y70">
        <v>1.2999999999999999E-2</v>
      </c>
      <c r="Z70">
        <v>1.4E-2</v>
      </c>
      <c r="AA70">
        <v>1.2999999999999999E-2</v>
      </c>
      <c r="AB70">
        <v>0.12</v>
      </c>
      <c r="AC70">
        <v>0.09</v>
      </c>
      <c r="AD70">
        <v>138.22</v>
      </c>
      <c r="AE70">
        <v>99.56</v>
      </c>
    </row>
    <row r="71" spans="1:31" x14ac:dyDescent="0.35">
      <c r="A71" t="s">
        <v>82</v>
      </c>
      <c r="C71">
        <v>0</v>
      </c>
      <c r="D71">
        <v>0</v>
      </c>
      <c r="E71">
        <v>0</v>
      </c>
      <c r="F71">
        <v>0</v>
      </c>
      <c r="G71">
        <v>1E-3</v>
      </c>
      <c r="H71">
        <v>0</v>
      </c>
      <c r="I71">
        <v>0</v>
      </c>
      <c r="J71">
        <v>0</v>
      </c>
      <c r="K71">
        <v>3.0000000000000001E-3</v>
      </c>
      <c r="L71">
        <v>0.04</v>
      </c>
      <c r="M71">
        <v>8.2929999999999993</v>
      </c>
      <c r="N71">
        <v>99.85</v>
      </c>
      <c r="R71" t="s">
        <v>82</v>
      </c>
      <c r="T71">
        <v>1E-3</v>
      </c>
      <c r="U71">
        <v>0</v>
      </c>
      <c r="V71">
        <v>0</v>
      </c>
      <c r="W71">
        <v>0</v>
      </c>
      <c r="X71">
        <v>2E-3</v>
      </c>
      <c r="Y71">
        <v>1E-3</v>
      </c>
      <c r="Z71">
        <v>0</v>
      </c>
      <c r="AA71">
        <v>1E-3</v>
      </c>
      <c r="AB71">
        <v>4.0000000000000001E-3</v>
      </c>
      <c r="AC71">
        <v>0</v>
      </c>
      <c r="AD71">
        <v>138.22399999999999</v>
      </c>
      <c r="AE71">
        <v>99.56</v>
      </c>
    </row>
    <row r="72" spans="1:31" x14ac:dyDescent="0.35">
      <c r="A72" t="s">
        <v>83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1E-3</v>
      </c>
      <c r="J72">
        <v>0</v>
      </c>
      <c r="K72">
        <v>2E-3</v>
      </c>
      <c r="L72">
        <v>0.02</v>
      </c>
      <c r="M72">
        <v>8.2949999999999999</v>
      </c>
      <c r="N72">
        <v>99.88</v>
      </c>
      <c r="R72" t="s">
        <v>83</v>
      </c>
      <c r="T72">
        <v>6.0000000000000001E-3</v>
      </c>
      <c r="U72">
        <v>7.0000000000000001E-3</v>
      </c>
      <c r="V72">
        <v>7.0000000000000001E-3</v>
      </c>
      <c r="W72">
        <v>8.9999999999999993E-3</v>
      </c>
      <c r="X72">
        <v>8.0000000000000002E-3</v>
      </c>
      <c r="Y72">
        <v>8.9999999999999993E-3</v>
      </c>
      <c r="Z72">
        <v>1.0999999999999999E-2</v>
      </c>
      <c r="AA72">
        <v>6.0000000000000001E-3</v>
      </c>
      <c r="AB72">
        <v>6.4000000000000001E-2</v>
      </c>
      <c r="AC72">
        <v>0.05</v>
      </c>
      <c r="AD72">
        <v>138.28800000000001</v>
      </c>
      <c r="AE72">
        <v>99.61</v>
      </c>
    </row>
    <row r="73" spans="1:31" x14ac:dyDescent="0.35">
      <c r="A73" t="s">
        <v>84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2E-3</v>
      </c>
      <c r="L73">
        <v>0.02</v>
      </c>
      <c r="M73">
        <v>8.2970000000000006</v>
      </c>
      <c r="N73">
        <v>99.9</v>
      </c>
      <c r="R73" t="s">
        <v>84</v>
      </c>
      <c r="T73">
        <v>4.0000000000000001E-3</v>
      </c>
      <c r="U73">
        <v>3.0000000000000001E-3</v>
      </c>
      <c r="V73">
        <v>8.0000000000000002E-3</v>
      </c>
      <c r="W73">
        <v>1.6E-2</v>
      </c>
      <c r="X73">
        <v>8.9999999999999993E-3</v>
      </c>
      <c r="Y73">
        <v>8.0000000000000002E-3</v>
      </c>
      <c r="Z73">
        <v>1.7999999999999999E-2</v>
      </c>
      <c r="AA73">
        <v>1.9E-2</v>
      </c>
      <c r="AB73">
        <v>8.5999999999999993E-2</v>
      </c>
      <c r="AC73">
        <v>0.06</v>
      </c>
      <c r="AD73">
        <v>138.374</v>
      </c>
      <c r="AE73">
        <v>99.67</v>
      </c>
    </row>
    <row r="74" spans="1:31" x14ac:dyDescent="0.35">
      <c r="A74" t="s">
        <v>85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2E-3</v>
      </c>
      <c r="L74">
        <v>0.02</v>
      </c>
      <c r="M74">
        <v>8.2989999999999995</v>
      </c>
      <c r="N74">
        <v>99.92</v>
      </c>
      <c r="R74" t="s">
        <v>85</v>
      </c>
      <c r="T74">
        <v>1E-3</v>
      </c>
      <c r="U74">
        <v>1E-3</v>
      </c>
      <c r="V74">
        <v>1E-3</v>
      </c>
      <c r="W74">
        <v>2E-3</v>
      </c>
      <c r="X74">
        <v>4.0000000000000001E-3</v>
      </c>
      <c r="Y74">
        <v>4.0000000000000001E-3</v>
      </c>
      <c r="Z74">
        <v>3.0000000000000001E-3</v>
      </c>
      <c r="AA74">
        <v>3.0000000000000001E-3</v>
      </c>
      <c r="AB74">
        <v>1.7999999999999999E-2</v>
      </c>
      <c r="AC74">
        <v>0.01</v>
      </c>
      <c r="AD74">
        <v>138.392</v>
      </c>
      <c r="AE74">
        <v>99.69</v>
      </c>
    </row>
    <row r="75" spans="1:31" x14ac:dyDescent="0.35">
      <c r="A75" t="s">
        <v>86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2E-3</v>
      </c>
      <c r="L75">
        <v>0.02</v>
      </c>
      <c r="M75">
        <v>8.3000000000000007</v>
      </c>
      <c r="N75">
        <v>99.94</v>
      </c>
      <c r="R75" t="s">
        <v>86</v>
      </c>
      <c r="T75">
        <v>2E-3</v>
      </c>
      <c r="U75">
        <v>2E-3</v>
      </c>
      <c r="V75">
        <v>2E-3</v>
      </c>
      <c r="W75">
        <v>2E-3</v>
      </c>
      <c r="X75">
        <v>2E-3</v>
      </c>
      <c r="Y75">
        <v>3.0000000000000001E-3</v>
      </c>
      <c r="Z75">
        <v>3.0000000000000001E-3</v>
      </c>
      <c r="AA75">
        <v>2E-3</v>
      </c>
      <c r="AB75">
        <v>1.7999999999999999E-2</v>
      </c>
      <c r="AC75">
        <v>0.01</v>
      </c>
      <c r="AD75">
        <v>138.41</v>
      </c>
      <c r="AE75">
        <v>99.7</v>
      </c>
    </row>
    <row r="76" spans="1:31" x14ac:dyDescent="0.35">
      <c r="A76" t="s">
        <v>87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1E-3</v>
      </c>
      <c r="L76">
        <v>0.02</v>
      </c>
      <c r="M76">
        <v>8.3019999999999996</v>
      </c>
      <c r="N76">
        <v>99.95</v>
      </c>
      <c r="R76" t="s">
        <v>87</v>
      </c>
      <c r="T76">
        <v>1E-3</v>
      </c>
      <c r="U76">
        <v>1E-3</v>
      </c>
      <c r="V76">
        <v>2E-3</v>
      </c>
      <c r="W76">
        <v>2E-3</v>
      </c>
      <c r="X76">
        <v>3.0000000000000001E-3</v>
      </c>
      <c r="Y76">
        <v>3.0000000000000001E-3</v>
      </c>
      <c r="Z76">
        <v>3.0000000000000001E-3</v>
      </c>
      <c r="AA76">
        <v>3.0000000000000001E-3</v>
      </c>
      <c r="AB76">
        <v>1.7000000000000001E-2</v>
      </c>
      <c r="AC76">
        <v>0.01</v>
      </c>
      <c r="AD76">
        <v>138.42699999999999</v>
      </c>
      <c r="AE76">
        <v>99.71</v>
      </c>
    </row>
    <row r="77" spans="1:31" x14ac:dyDescent="0.35">
      <c r="A77" t="s">
        <v>88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1E-3</v>
      </c>
      <c r="L77">
        <v>0.01</v>
      </c>
      <c r="M77">
        <v>8.3030000000000008</v>
      </c>
      <c r="N77">
        <v>99.96</v>
      </c>
      <c r="R77" t="s">
        <v>88</v>
      </c>
      <c r="T77">
        <v>1.0999999999999999E-2</v>
      </c>
      <c r="U77">
        <v>1.2E-2</v>
      </c>
      <c r="V77">
        <v>1.9E-2</v>
      </c>
      <c r="W77">
        <v>1.9E-2</v>
      </c>
      <c r="X77">
        <v>0.02</v>
      </c>
      <c r="Y77">
        <v>0.02</v>
      </c>
      <c r="Z77">
        <v>0.02</v>
      </c>
      <c r="AA77">
        <v>1.6E-2</v>
      </c>
      <c r="AB77">
        <v>0.13700000000000001</v>
      </c>
      <c r="AC77">
        <v>0.1</v>
      </c>
      <c r="AD77">
        <v>138.56299999999999</v>
      </c>
      <c r="AE77">
        <v>99.81</v>
      </c>
    </row>
    <row r="78" spans="1:31" x14ac:dyDescent="0.35">
      <c r="A78" t="s">
        <v>89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1E-3</v>
      </c>
      <c r="L78">
        <v>0.01</v>
      </c>
      <c r="M78">
        <v>8.3030000000000008</v>
      </c>
      <c r="N78">
        <v>99.97</v>
      </c>
      <c r="R78" t="s">
        <v>89</v>
      </c>
      <c r="T78">
        <v>2E-3</v>
      </c>
      <c r="U78">
        <v>1E-3</v>
      </c>
      <c r="V78">
        <v>1E-3</v>
      </c>
      <c r="W78">
        <v>1E-3</v>
      </c>
      <c r="X78">
        <v>1E-3</v>
      </c>
      <c r="Y78">
        <v>1E-3</v>
      </c>
      <c r="Z78">
        <v>1E-3</v>
      </c>
      <c r="AA78">
        <v>1E-3</v>
      </c>
      <c r="AB78">
        <v>8.9999999999999993E-3</v>
      </c>
      <c r="AC78">
        <v>0.01</v>
      </c>
      <c r="AD78">
        <v>138.57300000000001</v>
      </c>
      <c r="AE78">
        <v>99.82</v>
      </c>
    </row>
    <row r="79" spans="1:31" x14ac:dyDescent="0.35">
      <c r="A79" t="s">
        <v>90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1E-3</v>
      </c>
      <c r="L79">
        <v>0.01</v>
      </c>
      <c r="M79">
        <v>8.3040000000000003</v>
      </c>
      <c r="N79">
        <v>99.98</v>
      </c>
      <c r="R79" t="s">
        <v>90</v>
      </c>
      <c r="T79">
        <v>2E-3</v>
      </c>
      <c r="U79">
        <v>1E-3</v>
      </c>
      <c r="V79">
        <v>1E-3</v>
      </c>
      <c r="W79">
        <v>1E-3</v>
      </c>
      <c r="X79">
        <v>2E-3</v>
      </c>
      <c r="Y79">
        <v>1E-3</v>
      </c>
      <c r="Z79">
        <v>2E-3</v>
      </c>
      <c r="AA79">
        <v>2E-3</v>
      </c>
      <c r="AB79">
        <v>1.2999999999999999E-2</v>
      </c>
      <c r="AC79">
        <v>0.01</v>
      </c>
      <c r="AD79">
        <v>138.58600000000001</v>
      </c>
      <c r="AE79">
        <v>99.82</v>
      </c>
    </row>
    <row r="80" spans="1:31" x14ac:dyDescent="0.35">
      <c r="A80" t="s">
        <v>91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0.01</v>
      </c>
      <c r="M80">
        <v>8.3040000000000003</v>
      </c>
      <c r="N80">
        <v>99.99</v>
      </c>
      <c r="R80" t="s">
        <v>91</v>
      </c>
      <c r="T80">
        <v>1.6E-2</v>
      </c>
      <c r="U80">
        <v>2.1000000000000001E-2</v>
      </c>
      <c r="V80">
        <v>2.1000000000000001E-2</v>
      </c>
      <c r="W80">
        <v>2.5999999999999999E-2</v>
      </c>
      <c r="X80">
        <v>2.8000000000000001E-2</v>
      </c>
      <c r="Y80">
        <v>1.9E-2</v>
      </c>
      <c r="Z80">
        <v>5.0000000000000001E-3</v>
      </c>
      <c r="AA80">
        <v>5.0000000000000001E-3</v>
      </c>
      <c r="AB80">
        <v>0.14099999999999999</v>
      </c>
      <c r="AC80">
        <v>0.1</v>
      </c>
      <c r="AD80">
        <v>138.726</v>
      </c>
      <c r="AE80">
        <v>99.93</v>
      </c>
    </row>
    <row r="81" spans="1:31" x14ac:dyDescent="0.35">
      <c r="A81" t="s">
        <v>92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8.3049999999999997</v>
      </c>
      <c r="N81">
        <v>99.99</v>
      </c>
      <c r="R81" t="s">
        <v>92</v>
      </c>
      <c r="T81">
        <v>0</v>
      </c>
      <c r="U81">
        <v>0</v>
      </c>
      <c r="V81">
        <v>0</v>
      </c>
      <c r="W81">
        <v>0</v>
      </c>
      <c r="X81">
        <v>1E-3</v>
      </c>
      <c r="Y81">
        <v>1E-3</v>
      </c>
      <c r="Z81">
        <v>1E-3</v>
      </c>
      <c r="AA81">
        <v>1E-3</v>
      </c>
      <c r="AB81">
        <v>4.0000000000000001E-3</v>
      </c>
      <c r="AC81">
        <v>0</v>
      </c>
      <c r="AD81">
        <v>138.72999999999999</v>
      </c>
      <c r="AE81">
        <v>99.93</v>
      </c>
    </row>
    <row r="82" spans="1:31" x14ac:dyDescent="0.35">
      <c r="A82" t="s">
        <v>93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8.3049999999999997</v>
      </c>
      <c r="N82">
        <v>99.99</v>
      </c>
      <c r="R82" t="s">
        <v>93</v>
      </c>
      <c r="T82">
        <v>1E-3</v>
      </c>
      <c r="U82">
        <v>1E-3</v>
      </c>
      <c r="V82">
        <v>1E-3</v>
      </c>
      <c r="W82">
        <v>1E-3</v>
      </c>
      <c r="X82">
        <v>1E-3</v>
      </c>
      <c r="Y82">
        <v>0</v>
      </c>
      <c r="Z82">
        <v>0</v>
      </c>
      <c r="AA82">
        <v>0</v>
      </c>
      <c r="AB82">
        <v>6.0000000000000001E-3</v>
      </c>
      <c r="AC82">
        <v>0</v>
      </c>
      <c r="AD82">
        <v>138.73599999999999</v>
      </c>
      <c r="AE82">
        <v>99.93</v>
      </c>
    </row>
    <row r="83" spans="1:31" x14ac:dyDescent="0.35">
      <c r="A83" t="s">
        <v>94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8.3049999999999997</v>
      </c>
      <c r="N83">
        <v>100</v>
      </c>
      <c r="R83" t="s">
        <v>94</v>
      </c>
      <c r="T83">
        <v>2E-3</v>
      </c>
      <c r="U83">
        <v>1E-3</v>
      </c>
      <c r="V83">
        <v>1E-3</v>
      </c>
      <c r="W83">
        <v>1E-3</v>
      </c>
      <c r="X83">
        <v>2E-3</v>
      </c>
      <c r="Y83">
        <v>2E-3</v>
      </c>
      <c r="Z83">
        <v>1E-3</v>
      </c>
      <c r="AA83">
        <v>1E-3</v>
      </c>
      <c r="AB83">
        <v>0.01</v>
      </c>
      <c r="AC83">
        <v>0.01</v>
      </c>
      <c r="AD83">
        <v>138.74600000000001</v>
      </c>
      <c r="AE83">
        <v>99.94</v>
      </c>
    </row>
    <row r="84" spans="1:31" x14ac:dyDescent="0.35">
      <c r="A84" t="s">
        <v>95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8.3049999999999997</v>
      </c>
      <c r="N84">
        <v>100</v>
      </c>
      <c r="R84" t="s">
        <v>95</v>
      </c>
      <c r="T84">
        <v>6.0000000000000001E-3</v>
      </c>
      <c r="U84">
        <v>5.0000000000000001E-3</v>
      </c>
      <c r="V84">
        <v>5.0000000000000001E-3</v>
      </c>
      <c r="W84">
        <v>6.0000000000000001E-3</v>
      </c>
      <c r="X84">
        <v>5.0000000000000001E-3</v>
      </c>
      <c r="Y84">
        <v>5.0000000000000001E-3</v>
      </c>
      <c r="Z84">
        <v>5.0000000000000001E-3</v>
      </c>
      <c r="AA84">
        <v>3.0000000000000001E-3</v>
      </c>
      <c r="AB84">
        <v>4.2000000000000003E-2</v>
      </c>
      <c r="AC84">
        <v>0.03</v>
      </c>
      <c r="AD84">
        <v>138.78700000000001</v>
      </c>
      <c r="AE84">
        <v>99.97</v>
      </c>
    </row>
    <row r="85" spans="1:31" x14ac:dyDescent="0.35">
      <c r="A85" t="s">
        <v>96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8.3049999999999997</v>
      </c>
      <c r="N85">
        <v>100</v>
      </c>
      <c r="R85" t="s">
        <v>96</v>
      </c>
      <c r="T85">
        <v>4.0000000000000001E-3</v>
      </c>
      <c r="U85">
        <v>4.0000000000000001E-3</v>
      </c>
      <c r="V85">
        <v>4.0000000000000001E-3</v>
      </c>
      <c r="W85">
        <v>4.0000000000000001E-3</v>
      </c>
      <c r="X85">
        <v>5.0000000000000001E-3</v>
      </c>
      <c r="Y85">
        <v>5.0000000000000001E-3</v>
      </c>
      <c r="Z85">
        <v>6.0000000000000001E-3</v>
      </c>
      <c r="AA85">
        <v>7.0000000000000001E-3</v>
      </c>
      <c r="AB85">
        <v>4.1000000000000002E-2</v>
      </c>
      <c r="AC85">
        <v>0.03</v>
      </c>
      <c r="AD85">
        <v>138.828</v>
      </c>
      <c r="AE85">
        <v>100</v>
      </c>
    </row>
    <row r="86" spans="1:31" x14ac:dyDescent="0.35">
      <c r="A86" t="s">
        <v>97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8.3059999999999992</v>
      </c>
      <c r="N86">
        <v>100</v>
      </c>
      <c r="R86" t="s">
        <v>97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138.828</v>
      </c>
      <c r="AE86">
        <v>100</v>
      </c>
    </row>
    <row r="87" spans="1:31" x14ac:dyDescent="0.35">
      <c r="A87" t="s">
        <v>98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8.3059999999999992</v>
      </c>
      <c r="N87">
        <v>100</v>
      </c>
      <c r="R87" t="s">
        <v>98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138.82900000000001</v>
      </c>
      <c r="AE8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9936-71FC-4775-B375-96890ACDBCDF}">
  <dimension ref="B2:AH61"/>
  <sheetViews>
    <sheetView tabSelected="1" topLeftCell="F17" workbookViewId="0">
      <selection activeCell="U28" sqref="U28"/>
    </sheetView>
  </sheetViews>
  <sheetFormatPr defaultRowHeight="14.5" x14ac:dyDescent="0.35"/>
  <cols>
    <col min="18" max="18" width="18.90625" customWidth="1"/>
  </cols>
  <sheetData>
    <row r="2" spans="2:34" x14ac:dyDescent="0.35">
      <c r="B2" t="s">
        <v>121</v>
      </c>
    </row>
    <row r="4" spans="2:34" x14ac:dyDescent="0.35">
      <c r="B4" s="6" t="s">
        <v>122</v>
      </c>
      <c r="C4" s="10" t="s">
        <v>126</v>
      </c>
      <c r="D4" s="10"/>
      <c r="E4" s="10"/>
      <c r="F4" s="10"/>
      <c r="G4" s="10"/>
      <c r="U4" s="6" t="s">
        <v>123</v>
      </c>
      <c r="W4" s="11" t="s">
        <v>127</v>
      </c>
      <c r="X4" s="11"/>
      <c r="Y4" s="11"/>
      <c r="Z4" s="11"/>
      <c r="AA4" s="11"/>
    </row>
    <row r="5" spans="2:34" ht="33" customHeight="1" x14ac:dyDescent="0.35">
      <c r="R5" s="9" t="s">
        <v>125</v>
      </c>
    </row>
    <row r="6" spans="2:34" x14ac:dyDescent="0.35">
      <c r="B6" t="s">
        <v>0</v>
      </c>
      <c r="C6" s="5" t="s">
        <v>120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R6" s="8" t="s">
        <v>124</v>
      </c>
      <c r="U6" t="s">
        <v>0</v>
      </c>
      <c r="V6" s="7" t="s">
        <v>120</v>
      </c>
      <c r="W6" t="s">
        <v>1</v>
      </c>
      <c r="X6" t="s">
        <v>2</v>
      </c>
      <c r="Y6" t="s">
        <v>3</v>
      </c>
      <c r="Z6" t="s">
        <v>4</v>
      </c>
      <c r="AA6" t="s">
        <v>5</v>
      </c>
      <c r="AB6" t="s">
        <v>6</v>
      </c>
      <c r="AC6" t="s">
        <v>7</v>
      </c>
      <c r="AD6" t="s">
        <v>8</v>
      </c>
      <c r="AE6" t="s">
        <v>9</v>
      </c>
      <c r="AF6" t="s">
        <v>10</v>
      </c>
      <c r="AG6" t="s">
        <v>11</v>
      </c>
      <c r="AH6" t="s">
        <v>12</v>
      </c>
    </row>
    <row r="7" spans="2:34" x14ac:dyDescent="0.35">
      <c r="B7" t="s">
        <v>13</v>
      </c>
      <c r="C7" t="s">
        <v>13</v>
      </c>
      <c r="D7">
        <v>7.1999999999999995E-2</v>
      </c>
      <c r="E7">
        <v>7.6999999999999999E-2</v>
      </c>
      <c r="F7">
        <v>8.1000000000000003E-2</v>
      </c>
      <c r="G7">
        <v>9.2999999999999999E-2</v>
      </c>
      <c r="H7">
        <v>0.111</v>
      </c>
      <c r="I7">
        <v>0.122</v>
      </c>
      <c r="J7">
        <v>0.126</v>
      </c>
      <c r="K7">
        <v>0.113</v>
      </c>
      <c r="L7">
        <v>0.79500000000000004</v>
      </c>
      <c r="M7">
        <v>9.57</v>
      </c>
      <c r="N7">
        <v>0.79500000000000004</v>
      </c>
      <c r="O7">
        <v>9.57</v>
      </c>
      <c r="R7" t="str">
        <f>VLOOKUP(U7,$C$7:$C$28,1,0)</f>
        <v>B05</v>
      </c>
      <c r="U7" t="s">
        <v>18</v>
      </c>
      <c r="V7" t="s">
        <v>18</v>
      </c>
      <c r="W7">
        <v>5.0410000000000004</v>
      </c>
      <c r="X7">
        <v>3.2669999999999999</v>
      </c>
      <c r="Y7">
        <v>1.8140000000000001</v>
      </c>
      <c r="Z7">
        <v>2.7</v>
      </c>
      <c r="AA7">
        <v>2.8439999999999999</v>
      </c>
      <c r="AB7">
        <v>5.3369999999999997</v>
      </c>
      <c r="AC7">
        <v>2.1259999999999999</v>
      </c>
      <c r="AD7">
        <v>3.4569999999999999</v>
      </c>
      <c r="AE7">
        <v>26.585999999999999</v>
      </c>
      <c r="AF7">
        <v>7.76</v>
      </c>
      <c r="AG7">
        <v>26.585999999999999</v>
      </c>
      <c r="AH7">
        <v>7.76</v>
      </c>
    </row>
    <row r="8" spans="2:34" x14ac:dyDescent="0.35">
      <c r="B8" t="s">
        <v>14</v>
      </c>
      <c r="C8" t="s">
        <v>14</v>
      </c>
      <c r="D8">
        <v>7.9000000000000001E-2</v>
      </c>
      <c r="E8">
        <v>7.1999999999999995E-2</v>
      </c>
      <c r="F8">
        <v>7.0000000000000007E-2</v>
      </c>
      <c r="G8">
        <v>8.2000000000000003E-2</v>
      </c>
      <c r="H8">
        <v>9.7000000000000003E-2</v>
      </c>
      <c r="I8">
        <v>0.106</v>
      </c>
      <c r="J8">
        <v>0.104</v>
      </c>
      <c r="K8">
        <v>9.7000000000000003E-2</v>
      </c>
      <c r="L8">
        <v>0.70699999999999996</v>
      </c>
      <c r="M8">
        <v>8.51</v>
      </c>
      <c r="N8">
        <v>1.502</v>
      </c>
      <c r="O8">
        <v>18.079999999999998</v>
      </c>
      <c r="R8" t="str">
        <f t="shared" ref="R8:R30" si="0">VLOOKUP(U8,$C$7:$C$28,1,0)</f>
        <v>N06</v>
      </c>
      <c r="U8" t="s">
        <v>13</v>
      </c>
      <c r="V8" t="s">
        <v>13</v>
      </c>
      <c r="W8">
        <v>2.5409999999999999</v>
      </c>
      <c r="X8">
        <v>2.6429999999999998</v>
      </c>
      <c r="Y8">
        <v>2.7610000000000001</v>
      </c>
      <c r="Z8">
        <v>3.0219999999999998</v>
      </c>
      <c r="AA8">
        <v>3.339</v>
      </c>
      <c r="AB8">
        <v>3.4740000000000002</v>
      </c>
      <c r="AC8">
        <v>3.6110000000000002</v>
      </c>
      <c r="AD8">
        <v>3.411</v>
      </c>
      <c r="AE8">
        <v>24.802</v>
      </c>
      <c r="AF8">
        <v>7.24</v>
      </c>
      <c r="AG8">
        <v>51.387</v>
      </c>
      <c r="AH8">
        <v>15</v>
      </c>
    </row>
    <row r="9" spans="2:34" x14ac:dyDescent="0.35">
      <c r="B9" t="s">
        <v>15</v>
      </c>
      <c r="C9" t="s">
        <v>15</v>
      </c>
      <c r="D9">
        <v>3.9E-2</v>
      </c>
      <c r="E9">
        <v>5.3999999999999999E-2</v>
      </c>
      <c r="F9">
        <v>7.0999999999999994E-2</v>
      </c>
      <c r="G9">
        <v>9.0999999999999998E-2</v>
      </c>
      <c r="H9">
        <v>0.09</v>
      </c>
      <c r="I9">
        <v>7.8E-2</v>
      </c>
      <c r="J9">
        <v>8.2000000000000003E-2</v>
      </c>
      <c r="K9">
        <v>8.7999999999999995E-2</v>
      </c>
      <c r="L9">
        <v>0.59199999999999997</v>
      </c>
      <c r="M9">
        <v>7.12</v>
      </c>
      <c r="N9">
        <v>2.093</v>
      </c>
      <c r="O9">
        <v>25.2</v>
      </c>
      <c r="R9" t="str">
        <f t="shared" si="0"/>
        <v>N02</v>
      </c>
      <c r="U9" t="s">
        <v>14</v>
      </c>
      <c r="V9" t="s">
        <v>14</v>
      </c>
      <c r="W9">
        <v>3.0939999999999999</v>
      </c>
      <c r="X9">
        <v>2.8380000000000001</v>
      </c>
      <c r="Y9">
        <v>2.6619999999999999</v>
      </c>
      <c r="Z9">
        <v>2.9180000000000001</v>
      </c>
      <c r="AA9">
        <v>3.1349999999999998</v>
      </c>
      <c r="AB9">
        <v>3.3079999999999998</v>
      </c>
      <c r="AC9">
        <v>3.0939999999999999</v>
      </c>
      <c r="AD9">
        <v>3.077</v>
      </c>
      <c r="AE9">
        <v>24.126999999999999</v>
      </c>
      <c r="AF9">
        <v>7.04</v>
      </c>
      <c r="AG9">
        <v>75.515000000000001</v>
      </c>
      <c r="AH9">
        <v>22.04</v>
      </c>
    </row>
    <row r="10" spans="2:34" x14ac:dyDescent="0.35">
      <c r="B10" t="s">
        <v>16</v>
      </c>
      <c r="C10" t="s">
        <v>16</v>
      </c>
      <c r="D10">
        <v>4.7E-2</v>
      </c>
      <c r="E10">
        <v>4.9000000000000002E-2</v>
      </c>
      <c r="F10">
        <v>5.0999999999999997E-2</v>
      </c>
      <c r="G10">
        <v>6.2E-2</v>
      </c>
      <c r="H10">
        <v>7.0999999999999994E-2</v>
      </c>
      <c r="I10">
        <v>7.5999999999999998E-2</v>
      </c>
      <c r="J10">
        <v>7.8E-2</v>
      </c>
      <c r="K10">
        <v>7.1999999999999995E-2</v>
      </c>
      <c r="L10">
        <v>0.50700000000000001</v>
      </c>
      <c r="M10">
        <v>6.1</v>
      </c>
      <c r="N10">
        <v>2.6</v>
      </c>
      <c r="O10">
        <v>31.3</v>
      </c>
      <c r="R10" t="str">
        <f t="shared" si="0"/>
        <v>J01</v>
      </c>
      <c r="U10" t="s">
        <v>17</v>
      </c>
      <c r="V10" t="s">
        <v>17</v>
      </c>
      <c r="W10">
        <v>2.992</v>
      </c>
      <c r="X10">
        <v>2.8090000000000002</v>
      </c>
      <c r="Y10">
        <v>2.8940000000000001</v>
      </c>
      <c r="Z10">
        <v>1.919</v>
      </c>
      <c r="AA10">
        <v>2.117</v>
      </c>
      <c r="AB10">
        <v>2.597</v>
      </c>
      <c r="AC10">
        <v>3.09</v>
      </c>
      <c r="AD10">
        <v>2.9220000000000002</v>
      </c>
      <c r="AE10">
        <v>21.34</v>
      </c>
      <c r="AF10">
        <v>6.23</v>
      </c>
      <c r="AG10">
        <v>96.855000000000004</v>
      </c>
      <c r="AH10">
        <v>28.26</v>
      </c>
    </row>
    <row r="11" spans="2:34" x14ac:dyDescent="0.35">
      <c r="B11" t="s">
        <v>17</v>
      </c>
      <c r="C11" t="s">
        <v>17</v>
      </c>
      <c r="D11">
        <v>5.8000000000000003E-2</v>
      </c>
      <c r="E11">
        <v>5.5E-2</v>
      </c>
      <c r="F11">
        <v>5.8000000000000003E-2</v>
      </c>
      <c r="G11">
        <v>4.2000000000000003E-2</v>
      </c>
      <c r="H11">
        <v>4.8000000000000001E-2</v>
      </c>
      <c r="I11">
        <v>5.8999999999999997E-2</v>
      </c>
      <c r="J11">
        <v>7.0000000000000007E-2</v>
      </c>
      <c r="K11">
        <v>6.7000000000000004E-2</v>
      </c>
      <c r="L11">
        <v>0.45700000000000002</v>
      </c>
      <c r="M11">
        <v>5.5</v>
      </c>
      <c r="N11">
        <v>3.0569999999999999</v>
      </c>
      <c r="O11">
        <v>36.81</v>
      </c>
      <c r="R11" t="str">
        <f t="shared" si="0"/>
        <v>A06</v>
      </c>
      <c r="U11" t="s">
        <v>15</v>
      </c>
      <c r="V11" t="s">
        <v>15</v>
      </c>
      <c r="W11">
        <v>1.169</v>
      </c>
      <c r="X11">
        <v>1.726</v>
      </c>
      <c r="Y11">
        <v>2.214</v>
      </c>
      <c r="Z11">
        <v>2.8740000000000001</v>
      </c>
      <c r="AA11">
        <v>3.0979999999999999</v>
      </c>
      <c r="AB11">
        <v>2.57</v>
      </c>
      <c r="AC11">
        <v>2.8849999999999998</v>
      </c>
      <c r="AD11">
        <v>3.2440000000000002</v>
      </c>
      <c r="AE11">
        <v>19.78</v>
      </c>
      <c r="AF11">
        <v>5.77</v>
      </c>
      <c r="AG11">
        <v>116.63500000000001</v>
      </c>
      <c r="AH11">
        <v>34.04</v>
      </c>
    </row>
    <row r="12" spans="2:34" x14ac:dyDescent="0.35">
      <c r="B12" t="s">
        <v>18</v>
      </c>
      <c r="C12" t="s">
        <v>18</v>
      </c>
      <c r="D12">
        <v>5.8999999999999997E-2</v>
      </c>
      <c r="E12">
        <v>5.8000000000000003E-2</v>
      </c>
      <c r="F12">
        <v>1.9E-2</v>
      </c>
      <c r="G12">
        <v>4.2999999999999997E-2</v>
      </c>
      <c r="H12">
        <v>5.8999999999999997E-2</v>
      </c>
      <c r="I12">
        <v>0.105</v>
      </c>
      <c r="J12">
        <v>3.3000000000000002E-2</v>
      </c>
      <c r="K12">
        <v>6.7000000000000004E-2</v>
      </c>
      <c r="L12">
        <v>0.443</v>
      </c>
      <c r="M12">
        <v>5.33</v>
      </c>
      <c r="N12">
        <v>3.5</v>
      </c>
      <c r="O12">
        <v>42.14</v>
      </c>
      <c r="R12" t="str">
        <f t="shared" si="0"/>
        <v>N05</v>
      </c>
      <c r="U12" t="s">
        <v>16</v>
      </c>
      <c r="V12" t="s">
        <v>16</v>
      </c>
      <c r="W12">
        <v>1.968</v>
      </c>
      <c r="X12">
        <v>1.952</v>
      </c>
      <c r="Y12">
        <v>1.96</v>
      </c>
      <c r="Z12">
        <v>2.1880000000000002</v>
      </c>
      <c r="AA12">
        <v>2.339</v>
      </c>
      <c r="AB12">
        <v>2.4239999999999999</v>
      </c>
      <c r="AC12">
        <v>2.4910000000000001</v>
      </c>
      <c r="AD12">
        <v>2.3769999999999998</v>
      </c>
      <c r="AE12">
        <v>17.698</v>
      </c>
      <c r="AF12">
        <v>5.16</v>
      </c>
      <c r="AG12">
        <v>134.333</v>
      </c>
      <c r="AH12">
        <v>39.200000000000003</v>
      </c>
    </row>
    <row r="13" spans="2:34" x14ac:dyDescent="0.35">
      <c r="B13" t="s">
        <v>19</v>
      </c>
      <c r="C13" t="s">
        <v>19</v>
      </c>
      <c r="D13">
        <v>4.5999999999999999E-2</v>
      </c>
      <c r="E13">
        <v>0.05</v>
      </c>
      <c r="F13">
        <v>5.0999999999999997E-2</v>
      </c>
      <c r="G13">
        <v>5.6000000000000001E-2</v>
      </c>
      <c r="H13">
        <v>5.8999999999999997E-2</v>
      </c>
      <c r="I13">
        <v>0.06</v>
      </c>
      <c r="J13">
        <v>6.2E-2</v>
      </c>
      <c r="K13">
        <v>5.8999999999999997E-2</v>
      </c>
      <c r="L13">
        <v>0.443</v>
      </c>
      <c r="M13">
        <v>5.33</v>
      </c>
      <c r="N13">
        <v>3.9430000000000001</v>
      </c>
      <c r="O13">
        <v>47.47</v>
      </c>
      <c r="R13" t="str">
        <f t="shared" si="0"/>
        <v>N03</v>
      </c>
      <c r="U13" t="s">
        <v>19</v>
      </c>
      <c r="V13" t="s">
        <v>19</v>
      </c>
      <c r="W13">
        <v>1.9059999999999999</v>
      </c>
      <c r="X13">
        <v>2.0350000000000001</v>
      </c>
      <c r="Y13">
        <v>2.101</v>
      </c>
      <c r="Z13">
        <v>2.2410000000000001</v>
      </c>
      <c r="AA13">
        <v>2.3239999999999998</v>
      </c>
      <c r="AB13">
        <v>2.327</v>
      </c>
      <c r="AC13">
        <v>2.4039999999999999</v>
      </c>
      <c r="AD13">
        <v>2.3330000000000002</v>
      </c>
      <c r="AE13">
        <v>17.670000000000002</v>
      </c>
      <c r="AF13">
        <v>5.16</v>
      </c>
      <c r="AG13">
        <v>152.00299999999999</v>
      </c>
      <c r="AH13">
        <v>44.36</v>
      </c>
    </row>
    <row r="14" spans="2:34" x14ac:dyDescent="0.35">
      <c r="B14" t="s">
        <v>20</v>
      </c>
      <c r="C14" t="s">
        <v>20</v>
      </c>
      <c r="D14">
        <v>4.3999999999999997E-2</v>
      </c>
      <c r="E14">
        <v>4.9000000000000002E-2</v>
      </c>
      <c r="F14">
        <v>4.8000000000000001E-2</v>
      </c>
      <c r="G14">
        <v>5.1999999999999998E-2</v>
      </c>
      <c r="H14">
        <v>5.1999999999999998E-2</v>
      </c>
      <c r="I14">
        <v>5.2999999999999999E-2</v>
      </c>
      <c r="J14">
        <v>5.2999999999999999E-2</v>
      </c>
      <c r="K14">
        <v>4.4999999999999998E-2</v>
      </c>
      <c r="L14">
        <v>0.39800000000000002</v>
      </c>
      <c r="M14">
        <v>4.79</v>
      </c>
      <c r="N14">
        <v>4.34</v>
      </c>
      <c r="O14">
        <v>52.26</v>
      </c>
      <c r="R14" t="str">
        <f t="shared" si="0"/>
        <v>A12</v>
      </c>
      <c r="U14" t="s">
        <v>21</v>
      </c>
      <c r="V14" t="s">
        <v>21</v>
      </c>
      <c r="W14">
        <v>1.7110000000000001</v>
      </c>
      <c r="X14">
        <v>0.54500000000000004</v>
      </c>
      <c r="Y14">
        <v>2.5470000000000002</v>
      </c>
      <c r="Z14">
        <v>1.34</v>
      </c>
      <c r="AA14">
        <v>1.38</v>
      </c>
      <c r="AB14">
        <v>0.73399999999999999</v>
      </c>
      <c r="AC14">
        <v>4.74</v>
      </c>
      <c r="AD14">
        <v>2.2149999999999999</v>
      </c>
      <c r="AE14">
        <v>15.211</v>
      </c>
      <c r="AF14">
        <v>4.4400000000000004</v>
      </c>
      <c r="AG14">
        <v>167.214</v>
      </c>
      <c r="AH14">
        <v>48.8</v>
      </c>
    </row>
    <row r="15" spans="2:34" x14ac:dyDescent="0.35">
      <c r="B15" t="s">
        <v>21</v>
      </c>
      <c r="C15" t="s">
        <v>21</v>
      </c>
      <c r="D15">
        <v>2.7E-2</v>
      </c>
      <c r="E15">
        <v>1.2E-2</v>
      </c>
      <c r="F15">
        <v>5.5E-2</v>
      </c>
      <c r="G15">
        <v>2.1999999999999999E-2</v>
      </c>
      <c r="H15">
        <v>1.7000000000000001E-2</v>
      </c>
      <c r="I15">
        <v>1.2999999999999999E-2</v>
      </c>
      <c r="J15">
        <v>9.8000000000000004E-2</v>
      </c>
      <c r="K15">
        <v>4.1000000000000002E-2</v>
      </c>
      <c r="L15">
        <v>0.28599999999999998</v>
      </c>
      <c r="M15">
        <v>3.44</v>
      </c>
      <c r="N15">
        <v>4.6260000000000003</v>
      </c>
      <c r="O15">
        <v>55.7</v>
      </c>
      <c r="R15" t="str">
        <f t="shared" si="0"/>
        <v>R03</v>
      </c>
      <c r="U15" t="s">
        <v>20</v>
      </c>
      <c r="V15" t="s">
        <v>20</v>
      </c>
      <c r="W15">
        <v>1.764</v>
      </c>
      <c r="X15">
        <v>1.74</v>
      </c>
      <c r="Y15">
        <v>1.663</v>
      </c>
      <c r="Z15">
        <v>1.706</v>
      </c>
      <c r="AA15">
        <v>2.31</v>
      </c>
      <c r="AB15">
        <v>1.7470000000000001</v>
      </c>
      <c r="AC15">
        <v>1.871</v>
      </c>
      <c r="AD15">
        <v>1.58</v>
      </c>
      <c r="AE15">
        <v>14.38</v>
      </c>
      <c r="AF15">
        <v>4.2</v>
      </c>
      <c r="AG15">
        <v>181.59399999999999</v>
      </c>
      <c r="AH15">
        <v>52.99</v>
      </c>
    </row>
    <row r="16" spans="2:34" x14ac:dyDescent="0.35">
      <c r="B16" t="s">
        <v>22</v>
      </c>
      <c r="C16" t="s">
        <v>22</v>
      </c>
      <c r="D16">
        <v>2.4E-2</v>
      </c>
      <c r="E16">
        <v>2.5999999999999999E-2</v>
      </c>
      <c r="F16">
        <v>2.8000000000000001E-2</v>
      </c>
      <c r="G16">
        <v>3.3000000000000002E-2</v>
      </c>
      <c r="H16">
        <v>3.9E-2</v>
      </c>
      <c r="I16">
        <v>4.2000000000000003E-2</v>
      </c>
      <c r="J16">
        <v>4.2999999999999997E-2</v>
      </c>
      <c r="K16">
        <v>3.7999999999999999E-2</v>
      </c>
      <c r="L16">
        <v>0.27300000000000002</v>
      </c>
      <c r="M16">
        <v>3.28</v>
      </c>
      <c r="N16">
        <v>4.899</v>
      </c>
      <c r="O16">
        <v>58.98</v>
      </c>
      <c r="R16" t="str">
        <f t="shared" si="0"/>
        <v>A10</v>
      </c>
      <c r="U16" t="s">
        <v>22</v>
      </c>
      <c r="V16" t="s">
        <v>22</v>
      </c>
      <c r="W16">
        <v>1.278</v>
      </c>
      <c r="X16">
        <v>1.3120000000000001</v>
      </c>
      <c r="Y16">
        <v>1.353</v>
      </c>
      <c r="Z16">
        <v>1.7629999999999999</v>
      </c>
      <c r="AA16">
        <v>1.7889999999999999</v>
      </c>
      <c r="AB16">
        <v>1.7390000000000001</v>
      </c>
      <c r="AC16">
        <v>1.8140000000000001</v>
      </c>
      <c r="AD16">
        <v>1.6439999999999999</v>
      </c>
      <c r="AE16">
        <v>12.693</v>
      </c>
      <c r="AF16">
        <v>3.7</v>
      </c>
      <c r="AG16">
        <v>194.28800000000001</v>
      </c>
      <c r="AH16">
        <v>56.7</v>
      </c>
    </row>
    <row r="17" spans="2:34" x14ac:dyDescent="0.35">
      <c r="B17" t="s">
        <v>23</v>
      </c>
      <c r="C17" t="s">
        <v>23</v>
      </c>
      <c r="D17">
        <v>0.02</v>
      </c>
      <c r="E17">
        <v>0.02</v>
      </c>
      <c r="F17">
        <v>2.1999999999999999E-2</v>
      </c>
      <c r="G17">
        <v>2.5000000000000001E-2</v>
      </c>
      <c r="H17">
        <v>3.3000000000000002E-2</v>
      </c>
      <c r="I17">
        <v>3.5000000000000003E-2</v>
      </c>
      <c r="J17">
        <v>3.9E-2</v>
      </c>
      <c r="K17">
        <v>0.03</v>
      </c>
      <c r="L17">
        <v>0.223</v>
      </c>
      <c r="M17">
        <v>2.69</v>
      </c>
      <c r="N17">
        <v>5.1219999999999999</v>
      </c>
      <c r="O17">
        <v>61.67</v>
      </c>
      <c r="R17" t="str">
        <f t="shared" si="0"/>
        <v>R06</v>
      </c>
      <c r="U17" t="s">
        <v>25</v>
      </c>
      <c r="V17" t="s">
        <v>25</v>
      </c>
      <c r="W17">
        <v>1.296</v>
      </c>
      <c r="X17">
        <v>0.83</v>
      </c>
      <c r="Y17">
        <v>1.2789999999999999</v>
      </c>
      <c r="Z17">
        <v>1.173</v>
      </c>
      <c r="AA17">
        <v>1.5089999999999999</v>
      </c>
      <c r="AB17">
        <v>1.129</v>
      </c>
      <c r="AC17">
        <v>1.3460000000000001</v>
      </c>
      <c r="AD17">
        <v>0.9</v>
      </c>
      <c r="AE17">
        <v>9.4610000000000003</v>
      </c>
      <c r="AF17">
        <v>2.76</v>
      </c>
      <c r="AG17">
        <v>203.749</v>
      </c>
      <c r="AH17">
        <v>59.46</v>
      </c>
    </row>
    <row r="18" spans="2:34" x14ac:dyDescent="0.35">
      <c r="B18" t="s">
        <v>24</v>
      </c>
      <c r="C18" t="s">
        <v>24</v>
      </c>
      <c r="D18">
        <v>1.7000000000000001E-2</v>
      </c>
      <c r="E18">
        <v>0.02</v>
      </c>
      <c r="F18">
        <v>2.1000000000000001E-2</v>
      </c>
      <c r="G18">
        <v>2.4E-2</v>
      </c>
      <c r="H18">
        <v>2.9000000000000001E-2</v>
      </c>
      <c r="I18">
        <v>3.1E-2</v>
      </c>
      <c r="J18">
        <v>3.1E-2</v>
      </c>
      <c r="K18">
        <v>2.8000000000000001E-2</v>
      </c>
      <c r="L18">
        <v>0.2</v>
      </c>
      <c r="M18">
        <v>2.41</v>
      </c>
      <c r="N18">
        <v>5.3220000000000001</v>
      </c>
      <c r="O18">
        <v>64.08</v>
      </c>
      <c r="R18" t="str">
        <f t="shared" si="0"/>
        <v>S01</v>
      </c>
      <c r="U18" t="s">
        <v>29</v>
      </c>
      <c r="V18" t="s">
        <v>29</v>
      </c>
      <c r="W18">
        <v>0.96899999999999997</v>
      </c>
      <c r="X18">
        <v>1.119</v>
      </c>
      <c r="Y18">
        <v>0.99</v>
      </c>
      <c r="Z18">
        <v>0.98199999999999998</v>
      </c>
      <c r="AA18">
        <v>1.087</v>
      </c>
      <c r="AB18">
        <v>1.2649999999999999</v>
      </c>
      <c r="AC18">
        <v>1.1200000000000001</v>
      </c>
      <c r="AD18">
        <v>1.367</v>
      </c>
      <c r="AE18">
        <v>8.8979999999999997</v>
      </c>
      <c r="AF18">
        <v>2.6</v>
      </c>
      <c r="AG18">
        <v>212.64699999999999</v>
      </c>
      <c r="AH18">
        <v>62.05</v>
      </c>
    </row>
    <row r="19" spans="2:34" x14ac:dyDescent="0.35">
      <c r="B19" t="s">
        <v>25</v>
      </c>
      <c r="C19" t="s">
        <v>25</v>
      </c>
      <c r="D19">
        <v>2.7E-2</v>
      </c>
      <c r="E19">
        <v>0.02</v>
      </c>
      <c r="F19">
        <v>2.4E-2</v>
      </c>
      <c r="G19">
        <v>2.3E-2</v>
      </c>
      <c r="H19">
        <v>0.03</v>
      </c>
      <c r="I19">
        <v>2.5999999999999999E-2</v>
      </c>
      <c r="J19">
        <v>2.8000000000000001E-2</v>
      </c>
      <c r="K19">
        <v>2.1000000000000001E-2</v>
      </c>
      <c r="L19">
        <v>0.19900000000000001</v>
      </c>
      <c r="M19">
        <v>2.39</v>
      </c>
      <c r="N19">
        <v>5.5209999999999999</v>
      </c>
      <c r="O19">
        <v>66.48</v>
      </c>
      <c r="R19" t="str">
        <f t="shared" si="0"/>
        <v>A02</v>
      </c>
      <c r="U19" t="s">
        <v>23</v>
      </c>
      <c r="V19" t="s">
        <v>23</v>
      </c>
      <c r="W19">
        <v>0.77800000000000002</v>
      </c>
      <c r="X19">
        <v>0.79700000000000004</v>
      </c>
      <c r="Y19">
        <v>0.73899999999999999</v>
      </c>
      <c r="Z19">
        <v>0.92100000000000004</v>
      </c>
      <c r="AA19">
        <v>1.1819999999999999</v>
      </c>
      <c r="AB19">
        <v>1.2689999999999999</v>
      </c>
      <c r="AC19">
        <v>1.3919999999999999</v>
      </c>
      <c r="AD19">
        <v>1.254</v>
      </c>
      <c r="AE19">
        <v>8.3320000000000007</v>
      </c>
      <c r="AF19">
        <v>2.4300000000000002</v>
      </c>
      <c r="AG19">
        <v>220.97900000000001</v>
      </c>
      <c r="AH19">
        <v>64.48</v>
      </c>
    </row>
    <row r="20" spans="2:34" x14ac:dyDescent="0.35">
      <c r="B20" t="s">
        <v>26</v>
      </c>
      <c r="C20" t="s">
        <v>26</v>
      </c>
      <c r="D20">
        <v>1.6E-2</v>
      </c>
      <c r="E20">
        <v>1.7999999999999999E-2</v>
      </c>
      <c r="F20">
        <v>0.02</v>
      </c>
      <c r="G20">
        <v>2.3E-2</v>
      </c>
      <c r="H20">
        <v>2.8000000000000001E-2</v>
      </c>
      <c r="I20">
        <v>3.1E-2</v>
      </c>
      <c r="J20">
        <v>3.2000000000000001E-2</v>
      </c>
      <c r="K20">
        <v>2.9000000000000001E-2</v>
      </c>
      <c r="L20">
        <v>0.19900000000000001</v>
      </c>
      <c r="M20">
        <v>2.39</v>
      </c>
      <c r="N20">
        <v>5.72</v>
      </c>
      <c r="O20">
        <v>68.87</v>
      </c>
      <c r="R20" t="str">
        <f t="shared" si="0"/>
        <v>C10</v>
      </c>
      <c r="U20" t="s">
        <v>26</v>
      </c>
      <c r="V20" t="s">
        <v>26</v>
      </c>
      <c r="W20">
        <v>0.76100000000000001</v>
      </c>
      <c r="X20">
        <v>0.81899999999999995</v>
      </c>
      <c r="Y20">
        <v>0.86699999999999999</v>
      </c>
      <c r="Z20">
        <v>0.96199999999999997</v>
      </c>
      <c r="AA20">
        <v>1.107</v>
      </c>
      <c r="AB20">
        <v>1.1539999999999999</v>
      </c>
      <c r="AC20">
        <v>1.2569999999999999</v>
      </c>
      <c r="AD20">
        <v>1.19</v>
      </c>
      <c r="AE20">
        <v>8.1170000000000009</v>
      </c>
      <c r="AF20">
        <v>2.37</v>
      </c>
      <c r="AG20">
        <v>229.096</v>
      </c>
      <c r="AH20">
        <v>66.849999999999994</v>
      </c>
    </row>
    <row r="21" spans="2:34" x14ac:dyDescent="0.35">
      <c r="B21" t="s">
        <v>27</v>
      </c>
      <c r="C21" t="s">
        <v>27</v>
      </c>
      <c r="D21">
        <v>1.6E-2</v>
      </c>
      <c r="E21">
        <v>1.7000000000000001E-2</v>
      </c>
      <c r="F21">
        <v>1.7999999999999999E-2</v>
      </c>
      <c r="G21">
        <v>0.02</v>
      </c>
      <c r="H21">
        <v>2.4E-2</v>
      </c>
      <c r="I21">
        <v>2.8000000000000001E-2</v>
      </c>
      <c r="J21">
        <v>2.9000000000000001E-2</v>
      </c>
      <c r="K21">
        <v>2.4E-2</v>
      </c>
      <c r="L21">
        <v>0.17699999999999999</v>
      </c>
      <c r="M21">
        <v>2.13</v>
      </c>
      <c r="N21">
        <v>5.8959999999999999</v>
      </c>
      <c r="O21">
        <v>70.989999999999995</v>
      </c>
      <c r="R21" t="str">
        <f t="shared" si="0"/>
        <v>C09</v>
      </c>
      <c r="U21" t="s">
        <v>27</v>
      </c>
      <c r="V21" t="s">
        <v>27</v>
      </c>
      <c r="W21">
        <v>0.80300000000000005</v>
      </c>
      <c r="X21">
        <v>0.79600000000000004</v>
      </c>
      <c r="Y21">
        <v>0.80900000000000005</v>
      </c>
      <c r="Z21">
        <v>0.89500000000000002</v>
      </c>
      <c r="AA21">
        <v>0.96099999999999997</v>
      </c>
      <c r="AB21">
        <v>1.0469999999999999</v>
      </c>
      <c r="AC21">
        <v>1.129</v>
      </c>
      <c r="AD21">
        <v>0.99299999999999999</v>
      </c>
      <c r="AE21">
        <v>7.4340000000000002</v>
      </c>
      <c r="AF21">
        <v>2.17</v>
      </c>
      <c r="AG21">
        <v>236.529</v>
      </c>
      <c r="AH21">
        <v>69.02</v>
      </c>
    </row>
    <row r="22" spans="2:34" x14ac:dyDescent="0.35">
      <c r="B22" t="s">
        <v>28</v>
      </c>
      <c r="C22" t="s">
        <v>28</v>
      </c>
      <c r="D22">
        <v>1.7000000000000001E-2</v>
      </c>
      <c r="E22">
        <v>1.7999999999999999E-2</v>
      </c>
      <c r="F22">
        <v>1.9E-2</v>
      </c>
      <c r="G22">
        <v>0.02</v>
      </c>
      <c r="H22">
        <v>2.1999999999999999E-2</v>
      </c>
      <c r="I22">
        <v>2.4E-2</v>
      </c>
      <c r="J22">
        <v>2.4E-2</v>
      </c>
      <c r="K22">
        <v>2.1000000000000001E-2</v>
      </c>
      <c r="L22">
        <v>0.16500000000000001</v>
      </c>
      <c r="M22">
        <v>1.99</v>
      </c>
      <c r="N22">
        <v>6.0620000000000003</v>
      </c>
      <c r="O22">
        <v>72.98</v>
      </c>
      <c r="R22" t="str">
        <f t="shared" si="0"/>
        <v>C07</v>
      </c>
      <c r="U22" t="s">
        <v>24</v>
      </c>
      <c r="V22" t="s">
        <v>24</v>
      </c>
      <c r="W22">
        <v>0.72699999999999998</v>
      </c>
      <c r="X22">
        <v>0.76800000000000002</v>
      </c>
      <c r="Y22">
        <v>0.79900000000000004</v>
      </c>
      <c r="Z22">
        <v>0.89600000000000002</v>
      </c>
      <c r="AA22">
        <v>0.97399999999999998</v>
      </c>
      <c r="AB22">
        <v>0.995</v>
      </c>
      <c r="AC22">
        <v>1.0269999999999999</v>
      </c>
      <c r="AD22">
        <v>0.94899999999999995</v>
      </c>
      <c r="AE22">
        <v>7.1349999999999998</v>
      </c>
      <c r="AF22">
        <v>2.08</v>
      </c>
      <c r="AG22">
        <v>243.66499999999999</v>
      </c>
      <c r="AH22">
        <v>71.099999999999994</v>
      </c>
    </row>
    <row r="23" spans="2:34" x14ac:dyDescent="0.35">
      <c r="B23" t="s">
        <v>29</v>
      </c>
      <c r="C23" t="s">
        <v>29</v>
      </c>
      <c r="D23">
        <v>0.02</v>
      </c>
      <c r="E23">
        <v>1.7000000000000001E-2</v>
      </c>
      <c r="F23">
        <v>1.6E-2</v>
      </c>
      <c r="G23">
        <v>1.7000000000000001E-2</v>
      </c>
      <c r="H23">
        <v>1.9E-2</v>
      </c>
      <c r="I23">
        <v>0.02</v>
      </c>
      <c r="J23">
        <v>2.1999999999999999E-2</v>
      </c>
      <c r="K23">
        <v>2.1000000000000001E-2</v>
      </c>
      <c r="L23">
        <v>0.153</v>
      </c>
      <c r="M23">
        <v>1.84</v>
      </c>
      <c r="N23">
        <v>6.2140000000000004</v>
      </c>
      <c r="O23">
        <v>74.819999999999993</v>
      </c>
      <c r="R23" t="str">
        <f t="shared" si="0"/>
        <v>M03</v>
      </c>
      <c r="U23" t="s">
        <v>28</v>
      </c>
      <c r="V23" t="s">
        <v>28</v>
      </c>
      <c r="W23">
        <v>0.60399999999999998</v>
      </c>
      <c r="X23">
        <v>0.63300000000000001</v>
      </c>
      <c r="Y23">
        <v>0.64300000000000002</v>
      </c>
      <c r="Z23">
        <v>0.66200000000000003</v>
      </c>
      <c r="AA23">
        <v>0.69299999999999995</v>
      </c>
      <c r="AB23">
        <v>0.69199999999999995</v>
      </c>
      <c r="AC23">
        <v>0.70599999999999996</v>
      </c>
      <c r="AD23">
        <v>0.68</v>
      </c>
      <c r="AE23">
        <v>5.3129999999999997</v>
      </c>
      <c r="AF23">
        <v>1.55</v>
      </c>
      <c r="AG23">
        <v>248.97800000000001</v>
      </c>
      <c r="AH23">
        <v>72.650000000000006</v>
      </c>
    </row>
    <row r="24" spans="2:34" x14ac:dyDescent="0.35">
      <c r="B24" t="s">
        <v>30</v>
      </c>
      <c r="C24" t="s">
        <v>30</v>
      </c>
      <c r="D24">
        <v>1.2E-2</v>
      </c>
      <c r="E24">
        <v>1.4E-2</v>
      </c>
      <c r="F24">
        <v>1.4999999999999999E-2</v>
      </c>
      <c r="G24">
        <v>1.7000000000000001E-2</v>
      </c>
      <c r="H24">
        <v>2.1000000000000001E-2</v>
      </c>
      <c r="I24">
        <v>0.02</v>
      </c>
      <c r="J24">
        <v>0.02</v>
      </c>
      <c r="K24">
        <v>1.7999999999999999E-2</v>
      </c>
      <c r="L24">
        <v>0.13600000000000001</v>
      </c>
      <c r="M24">
        <v>1.63</v>
      </c>
      <c r="N24">
        <v>6.35</v>
      </c>
      <c r="O24">
        <v>76.459999999999994</v>
      </c>
      <c r="R24" t="str">
        <f t="shared" si="0"/>
        <v>C03</v>
      </c>
      <c r="U24" t="s">
        <v>30</v>
      </c>
      <c r="V24" t="s">
        <v>30</v>
      </c>
      <c r="W24">
        <v>0.505</v>
      </c>
      <c r="X24">
        <v>0.55700000000000005</v>
      </c>
      <c r="Y24">
        <v>0.56299999999999994</v>
      </c>
      <c r="Z24">
        <v>0.63800000000000001</v>
      </c>
      <c r="AA24">
        <v>0.70099999999999996</v>
      </c>
      <c r="AB24">
        <v>0.65500000000000003</v>
      </c>
      <c r="AC24">
        <v>0.66900000000000004</v>
      </c>
      <c r="AD24">
        <v>0.63200000000000001</v>
      </c>
      <c r="AE24">
        <v>4.9189999999999996</v>
      </c>
      <c r="AF24">
        <v>1.44</v>
      </c>
      <c r="AG24">
        <v>253.89699999999999</v>
      </c>
      <c r="AH24">
        <v>74.09</v>
      </c>
    </row>
    <row r="25" spans="2:34" x14ac:dyDescent="0.35">
      <c r="B25" t="s">
        <v>31</v>
      </c>
      <c r="C25" t="s">
        <v>31</v>
      </c>
      <c r="D25">
        <v>1.4E-2</v>
      </c>
      <c r="E25">
        <v>1.6E-2</v>
      </c>
      <c r="F25">
        <v>1.4999999999999999E-2</v>
      </c>
      <c r="G25">
        <v>1.2E-2</v>
      </c>
      <c r="H25">
        <v>7.0000000000000001E-3</v>
      </c>
      <c r="I25">
        <v>1.4999999999999999E-2</v>
      </c>
      <c r="J25">
        <v>1.4999999999999999E-2</v>
      </c>
      <c r="K25">
        <v>1.4999999999999999E-2</v>
      </c>
      <c r="L25">
        <v>0.108</v>
      </c>
      <c r="M25">
        <v>1.3</v>
      </c>
      <c r="N25">
        <v>6.4580000000000002</v>
      </c>
      <c r="O25">
        <v>77.760000000000005</v>
      </c>
      <c r="R25" t="str">
        <f t="shared" si="0"/>
        <v>R05</v>
      </c>
      <c r="U25" t="s">
        <v>31</v>
      </c>
      <c r="V25" t="s">
        <v>31</v>
      </c>
      <c r="W25">
        <v>0.47199999999999998</v>
      </c>
      <c r="X25">
        <v>0.61899999999999999</v>
      </c>
      <c r="Y25">
        <v>0.54100000000000004</v>
      </c>
      <c r="Z25">
        <v>0.42299999999999999</v>
      </c>
      <c r="AA25">
        <v>0.33</v>
      </c>
      <c r="AB25">
        <v>0.621</v>
      </c>
      <c r="AC25">
        <v>0.53400000000000003</v>
      </c>
      <c r="AD25">
        <v>0.72399999999999998</v>
      </c>
      <c r="AE25">
        <v>4.2640000000000002</v>
      </c>
      <c r="AF25">
        <v>1.24</v>
      </c>
      <c r="AG25">
        <v>258.161</v>
      </c>
      <c r="AH25">
        <v>75.33</v>
      </c>
    </row>
    <row r="26" spans="2:34" x14ac:dyDescent="0.35">
      <c r="B26" t="s">
        <v>32</v>
      </c>
      <c r="C26" t="s">
        <v>32</v>
      </c>
      <c r="D26">
        <v>6.0000000000000001E-3</v>
      </c>
      <c r="E26">
        <v>1.2999999999999999E-2</v>
      </c>
      <c r="F26">
        <v>1.0999999999999999E-2</v>
      </c>
      <c r="G26">
        <v>1.7000000000000001E-2</v>
      </c>
      <c r="H26">
        <v>1.2999999999999999E-2</v>
      </c>
      <c r="I26">
        <v>1.2E-2</v>
      </c>
      <c r="J26">
        <v>1.0999999999999999E-2</v>
      </c>
      <c r="K26">
        <v>8.0000000000000002E-3</v>
      </c>
      <c r="L26">
        <v>9.1999999999999998E-2</v>
      </c>
      <c r="M26">
        <v>1.1100000000000001</v>
      </c>
      <c r="N26">
        <v>6.55</v>
      </c>
      <c r="O26">
        <v>78.86</v>
      </c>
      <c r="R26" t="e">
        <f>VLOOKUP(U26,$C$7:$C$28,1,0)</f>
        <v>#N/A</v>
      </c>
      <c r="U26" t="s">
        <v>35</v>
      </c>
      <c r="V26" t="s">
        <v>35</v>
      </c>
      <c r="W26">
        <v>0.35499999999999998</v>
      </c>
      <c r="X26">
        <v>0.39600000000000002</v>
      </c>
      <c r="Y26">
        <v>0.42299999999999999</v>
      </c>
      <c r="Z26">
        <v>0.48</v>
      </c>
      <c r="AA26">
        <v>0.51700000000000002</v>
      </c>
      <c r="AB26">
        <v>0.52300000000000002</v>
      </c>
      <c r="AC26">
        <v>0.54900000000000004</v>
      </c>
      <c r="AD26">
        <v>0.52100000000000002</v>
      </c>
      <c r="AE26">
        <v>3.7639999999999998</v>
      </c>
      <c r="AF26">
        <v>1.1000000000000001</v>
      </c>
      <c r="AG26">
        <v>261.92500000000001</v>
      </c>
      <c r="AH26">
        <v>76.430000000000007</v>
      </c>
    </row>
    <row r="27" spans="2:34" x14ac:dyDescent="0.35">
      <c r="B27" t="s">
        <v>33</v>
      </c>
      <c r="C27" t="s">
        <v>33</v>
      </c>
      <c r="D27">
        <v>8.9999999999999993E-3</v>
      </c>
      <c r="E27">
        <v>8.9999999999999993E-3</v>
      </c>
      <c r="F27">
        <v>8.9999999999999993E-3</v>
      </c>
      <c r="G27">
        <v>1.0999999999999999E-2</v>
      </c>
      <c r="H27">
        <v>1.2E-2</v>
      </c>
      <c r="I27">
        <v>1.2999999999999999E-2</v>
      </c>
      <c r="J27">
        <v>1.4E-2</v>
      </c>
      <c r="K27">
        <v>1.2E-2</v>
      </c>
      <c r="L27">
        <v>8.8999999999999996E-2</v>
      </c>
      <c r="M27">
        <v>1.07</v>
      </c>
      <c r="N27">
        <v>6.6390000000000002</v>
      </c>
      <c r="O27">
        <v>79.94</v>
      </c>
      <c r="R27" t="str">
        <f t="shared" si="0"/>
        <v>M01</v>
      </c>
      <c r="U27" t="s">
        <v>34</v>
      </c>
      <c r="V27" t="s">
        <v>34</v>
      </c>
      <c r="W27">
        <v>0.436</v>
      </c>
      <c r="X27">
        <v>0.54700000000000004</v>
      </c>
      <c r="Y27">
        <v>0.53900000000000003</v>
      </c>
      <c r="Z27">
        <v>0.46400000000000002</v>
      </c>
      <c r="AA27">
        <v>0.31</v>
      </c>
      <c r="AB27">
        <v>0.29899999999999999</v>
      </c>
      <c r="AC27">
        <v>0.54400000000000004</v>
      </c>
      <c r="AD27">
        <v>0.60299999999999998</v>
      </c>
      <c r="AE27">
        <v>3.7410000000000001</v>
      </c>
      <c r="AF27">
        <v>1.0900000000000001</v>
      </c>
      <c r="AG27">
        <v>265.66699999999997</v>
      </c>
      <c r="AH27">
        <v>77.52</v>
      </c>
    </row>
    <row r="28" spans="2:34" x14ac:dyDescent="0.35">
      <c r="B28" t="s">
        <v>34</v>
      </c>
      <c r="C28" t="s">
        <v>34</v>
      </c>
      <c r="D28">
        <v>1.0999999999999999E-2</v>
      </c>
      <c r="E28">
        <v>1.2999999999999999E-2</v>
      </c>
      <c r="F28">
        <v>8.9999999999999993E-3</v>
      </c>
      <c r="G28">
        <v>1.2E-2</v>
      </c>
      <c r="H28">
        <v>0.01</v>
      </c>
      <c r="I28">
        <v>8.9999999999999993E-3</v>
      </c>
      <c r="J28">
        <v>1.2E-2</v>
      </c>
      <c r="K28">
        <v>1.2E-2</v>
      </c>
      <c r="L28">
        <v>8.8999999999999996E-2</v>
      </c>
      <c r="M28">
        <v>1.07</v>
      </c>
      <c r="N28">
        <v>6.7279999999999998</v>
      </c>
      <c r="O28">
        <v>81.010000000000005</v>
      </c>
      <c r="R28" t="e">
        <f>VLOOKUP(U28,$C$7:$C$28,1,0)</f>
        <v>#N/A</v>
      </c>
      <c r="U28" t="s">
        <v>40</v>
      </c>
      <c r="V28" t="s">
        <v>40</v>
      </c>
      <c r="W28">
        <v>0.40400000000000003</v>
      </c>
      <c r="X28">
        <v>0.34300000000000003</v>
      </c>
      <c r="Y28">
        <v>0.40100000000000002</v>
      </c>
      <c r="Z28">
        <v>0.52700000000000002</v>
      </c>
      <c r="AA28">
        <v>0.36299999999999999</v>
      </c>
      <c r="AB28">
        <v>0.442</v>
      </c>
      <c r="AC28">
        <v>0.46500000000000002</v>
      </c>
      <c r="AD28">
        <v>0.49</v>
      </c>
      <c r="AE28">
        <v>3.4340000000000002</v>
      </c>
      <c r="AF28">
        <v>1</v>
      </c>
      <c r="AG28">
        <v>269.101</v>
      </c>
      <c r="AH28">
        <v>78.53</v>
      </c>
    </row>
    <row r="29" spans="2:34" x14ac:dyDescent="0.35">
      <c r="R29" t="e">
        <f>VLOOKUP(U29,$C$7:$C$28,1,0)</f>
        <v>#N/A</v>
      </c>
      <c r="U29" t="s">
        <v>43</v>
      </c>
      <c r="V29" t="s">
        <v>43</v>
      </c>
      <c r="W29">
        <v>0.44800000000000001</v>
      </c>
      <c r="X29">
        <v>0.123</v>
      </c>
      <c r="Y29">
        <v>0.61099999999999999</v>
      </c>
      <c r="Z29">
        <v>0.186</v>
      </c>
      <c r="AA29">
        <v>0.34399999999999997</v>
      </c>
      <c r="AB29">
        <v>0.80900000000000005</v>
      </c>
      <c r="AC29">
        <v>0.79800000000000004</v>
      </c>
      <c r="AD29">
        <v>0.09</v>
      </c>
      <c r="AE29">
        <v>3.4089999999999998</v>
      </c>
      <c r="AF29">
        <v>0.99</v>
      </c>
      <c r="AG29">
        <v>272.51</v>
      </c>
      <c r="AH29">
        <v>79.52</v>
      </c>
    </row>
    <row r="30" spans="2:34" x14ac:dyDescent="0.35">
      <c r="R30" t="str">
        <f t="shared" si="0"/>
        <v>H03</v>
      </c>
      <c r="U30" t="s">
        <v>33</v>
      </c>
      <c r="V30" t="s">
        <v>33</v>
      </c>
      <c r="W30">
        <v>0.379</v>
      </c>
      <c r="X30">
        <v>0.38500000000000001</v>
      </c>
      <c r="Y30">
        <v>0.38800000000000001</v>
      </c>
      <c r="Z30">
        <v>0.41499999999999998</v>
      </c>
      <c r="AA30">
        <v>0.45300000000000001</v>
      </c>
      <c r="AB30">
        <v>0.46</v>
      </c>
      <c r="AC30">
        <v>0.49099999999999999</v>
      </c>
      <c r="AD30">
        <v>0.433</v>
      </c>
      <c r="AE30">
        <v>3.4049999999999998</v>
      </c>
      <c r="AF30">
        <v>0.99</v>
      </c>
      <c r="AG30">
        <v>275.91500000000002</v>
      </c>
      <c r="AH30">
        <v>80.52</v>
      </c>
    </row>
    <row r="32" spans="2:34" x14ac:dyDescent="0.35">
      <c r="B32" t="s">
        <v>0</v>
      </c>
      <c r="C32" s="5" t="s">
        <v>120</v>
      </c>
      <c r="D32" t="s">
        <v>99</v>
      </c>
      <c r="E32" t="s">
        <v>100</v>
      </c>
      <c r="F32" t="s">
        <v>101</v>
      </c>
      <c r="G32" t="s">
        <v>102</v>
      </c>
      <c r="H32" t="s">
        <v>103</v>
      </c>
      <c r="I32" t="s">
        <v>104</v>
      </c>
      <c r="J32" t="s">
        <v>105</v>
      </c>
      <c r="K32" t="s">
        <v>106</v>
      </c>
      <c r="L32" t="s">
        <v>107</v>
      </c>
      <c r="M32" t="s">
        <v>10</v>
      </c>
      <c r="N32" t="s">
        <v>108</v>
      </c>
      <c r="O32" t="s">
        <v>12</v>
      </c>
      <c r="U32" t="s">
        <v>0</v>
      </c>
      <c r="V32" s="7" t="s">
        <v>120</v>
      </c>
      <c r="W32" t="s">
        <v>99</v>
      </c>
      <c r="X32" t="s">
        <v>100</v>
      </c>
      <c r="Y32" t="s">
        <v>101</v>
      </c>
      <c r="Z32" t="s">
        <v>102</v>
      </c>
      <c r="AA32" t="s">
        <v>103</v>
      </c>
      <c r="AB32" t="s">
        <v>104</v>
      </c>
      <c r="AC32" t="s">
        <v>105</v>
      </c>
      <c r="AD32" t="s">
        <v>106</v>
      </c>
      <c r="AE32" t="s">
        <v>107</v>
      </c>
      <c r="AF32" t="s">
        <v>10</v>
      </c>
      <c r="AG32" t="s">
        <v>108</v>
      </c>
      <c r="AH32" t="s">
        <v>12</v>
      </c>
    </row>
    <row r="33" spans="2:34" x14ac:dyDescent="0.35">
      <c r="B33" t="s">
        <v>13</v>
      </c>
      <c r="C33" t="s">
        <v>13</v>
      </c>
      <c r="D33">
        <v>1.8959999999999999</v>
      </c>
      <c r="E33">
        <v>1.978</v>
      </c>
      <c r="F33">
        <v>2.0459999999999998</v>
      </c>
      <c r="G33">
        <v>2.2400000000000002</v>
      </c>
      <c r="H33">
        <v>2.58</v>
      </c>
      <c r="I33">
        <v>2.8090000000000002</v>
      </c>
      <c r="J33">
        <v>2.83</v>
      </c>
      <c r="K33">
        <v>2.4870000000000001</v>
      </c>
      <c r="L33">
        <v>18.864000000000001</v>
      </c>
      <c r="M33">
        <v>13.59</v>
      </c>
      <c r="N33">
        <v>18.864000000000001</v>
      </c>
      <c r="O33">
        <v>13.59</v>
      </c>
      <c r="R33" t="str">
        <f>VLOOKUP(U33,$B$33:$B$60,1,0)</f>
        <v>B05</v>
      </c>
      <c r="U33" t="s">
        <v>18</v>
      </c>
      <c r="V33" t="s">
        <v>18</v>
      </c>
      <c r="W33">
        <v>3.0390000000000001</v>
      </c>
      <c r="X33">
        <v>4.3499999999999996</v>
      </c>
      <c r="Y33">
        <v>2.0379999999999998</v>
      </c>
      <c r="Z33">
        <v>2.7919999999999998</v>
      </c>
      <c r="AA33">
        <v>4.1879999999999997</v>
      </c>
      <c r="AB33">
        <v>6.0679999999999996</v>
      </c>
      <c r="AC33">
        <v>2.5609999999999999</v>
      </c>
      <c r="AD33">
        <v>4.407</v>
      </c>
      <c r="AE33">
        <v>29.443000000000001</v>
      </c>
      <c r="AF33">
        <v>0.52</v>
      </c>
      <c r="AG33">
        <v>29.443000000000001</v>
      </c>
      <c r="AH33">
        <v>0.52</v>
      </c>
    </row>
    <row r="34" spans="2:34" x14ac:dyDescent="0.35">
      <c r="B34" t="s">
        <v>14</v>
      </c>
      <c r="C34" t="s">
        <v>14</v>
      </c>
      <c r="D34">
        <v>1.1919999999999999</v>
      </c>
      <c r="E34">
        <v>1.014</v>
      </c>
      <c r="F34">
        <v>0.94299999999999995</v>
      </c>
      <c r="G34">
        <v>1.1879999999999999</v>
      </c>
      <c r="H34">
        <v>1.44</v>
      </c>
      <c r="I34">
        <v>1.637</v>
      </c>
      <c r="J34">
        <v>1.7330000000000001</v>
      </c>
      <c r="K34">
        <v>1.5920000000000001</v>
      </c>
      <c r="L34">
        <v>10.739000000000001</v>
      </c>
      <c r="M34">
        <v>7.74</v>
      </c>
      <c r="N34">
        <v>29.603999999999999</v>
      </c>
      <c r="O34">
        <v>21.32</v>
      </c>
      <c r="R34" t="str">
        <f t="shared" ref="R34:R61" si="1">VLOOKUP(U34,$B$33:$B$60,1,0)</f>
        <v>N06</v>
      </c>
      <c r="U34" t="s">
        <v>13</v>
      </c>
      <c r="V34" t="s">
        <v>13</v>
      </c>
      <c r="W34">
        <v>66.158000000000001</v>
      </c>
      <c r="X34">
        <v>68.53</v>
      </c>
      <c r="Y34">
        <v>70.747</v>
      </c>
      <c r="Z34">
        <v>73.968999999999994</v>
      </c>
      <c r="AA34">
        <v>79.608999999999995</v>
      </c>
      <c r="AB34">
        <v>81.741</v>
      </c>
      <c r="AC34">
        <v>83.992999999999995</v>
      </c>
      <c r="AD34">
        <v>79.161000000000001</v>
      </c>
      <c r="AE34">
        <v>603.90800000000002</v>
      </c>
      <c r="AF34">
        <v>10.73</v>
      </c>
      <c r="AG34">
        <v>633.351</v>
      </c>
      <c r="AH34">
        <v>11.25</v>
      </c>
    </row>
    <row r="35" spans="2:34" x14ac:dyDescent="0.35">
      <c r="B35" t="s">
        <v>15</v>
      </c>
      <c r="C35" t="s">
        <v>15</v>
      </c>
      <c r="D35">
        <v>0.192</v>
      </c>
      <c r="E35">
        <v>0.20399999999999999</v>
      </c>
      <c r="F35">
        <v>0.29599999999999999</v>
      </c>
      <c r="G35">
        <v>0.33700000000000002</v>
      </c>
      <c r="H35">
        <v>0.47799999999999998</v>
      </c>
      <c r="I35">
        <v>0.44900000000000001</v>
      </c>
      <c r="J35">
        <v>0.43</v>
      </c>
      <c r="K35">
        <v>0.54600000000000004</v>
      </c>
      <c r="L35">
        <v>2.9319999999999999</v>
      </c>
      <c r="M35">
        <v>2.11</v>
      </c>
      <c r="N35">
        <v>32.536000000000001</v>
      </c>
      <c r="O35">
        <v>23.44</v>
      </c>
      <c r="R35" t="str">
        <f t="shared" si="1"/>
        <v>N02</v>
      </c>
      <c r="U35" t="s">
        <v>14</v>
      </c>
      <c r="V35" t="s">
        <v>14</v>
      </c>
      <c r="W35">
        <v>45.701999999999998</v>
      </c>
      <c r="X35">
        <v>41.582000000000001</v>
      </c>
      <c r="Y35">
        <v>38.139000000000003</v>
      </c>
      <c r="Z35">
        <v>43.148000000000003</v>
      </c>
      <c r="AA35">
        <v>46.076000000000001</v>
      </c>
      <c r="AB35">
        <v>49.722000000000001</v>
      </c>
      <c r="AC35">
        <v>47.012</v>
      </c>
      <c r="AD35">
        <v>46.826999999999998</v>
      </c>
      <c r="AE35">
        <v>358.21</v>
      </c>
      <c r="AF35">
        <v>6.36</v>
      </c>
      <c r="AG35">
        <v>991.56</v>
      </c>
      <c r="AH35">
        <v>17.61</v>
      </c>
    </row>
    <row r="36" spans="2:34" x14ac:dyDescent="0.35">
      <c r="B36" t="s">
        <v>16</v>
      </c>
      <c r="C36" t="s">
        <v>16</v>
      </c>
      <c r="D36">
        <v>0.94699999999999995</v>
      </c>
      <c r="E36">
        <v>1.0149999999999999</v>
      </c>
      <c r="F36">
        <v>1.0349999999999999</v>
      </c>
      <c r="G36">
        <v>1.2410000000000001</v>
      </c>
      <c r="H36">
        <v>1.4219999999999999</v>
      </c>
      <c r="I36">
        <v>1.528</v>
      </c>
      <c r="J36">
        <v>1.548</v>
      </c>
      <c r="K36">
        <v>1.377</v>
      </c>
      <c r="L36">
        <v>10.113</v>
      </c>
      <c r="M36">
        <v>7.28</v>
      </c>
      <c r="N36">
        <v>42.649000000000001</v>
      </c>
      <c r="O36">
        <v>30.72</v>
      </c>
      <c r="R36" t="str">
        <f t="shared" si="1"/>
        <v>J01</v>
      </c>
      <c r="U36" t="s">
        <v>17</v>
      </c>
      <c r="V36" t="s">
        <v>17</v>
      </c>
      <c r="W36">
        <v>47.018000000000001</v>
      </c>
      <c r="X36">
        <v>44.122</v>
      </c>
      <c r="Y36">
        <v>50.024999999999999</v>
      </c>
      <c r="Z36">
        <v>35.720999999999997</v>
      </c>
      <c r="AA36">
        <v>39.881999999999998</v>
      </c>
      <c r="AB36">
        <v>42.667000000000002</v>
      </c>
      <c r="AC36">
        <v>51.85</v>
      </c>
      <c r="AD36">
        <v>49.994999999999997</v>
      </c>
      <c r="AE36">
        <v>361.28</v>
      </c>
      <c r="AF36">
        <v>6.42</v>
      </c>
      <c r="AG36">
        <v>1352.84</v>
      </c>
      <c r="AH36">
        <v>24.03</v>
      </c>
    </row>
    <row r="37" spans="2:34" x14ac:dyDescent="0.35">
      <c r="B37" t="s">
        <v>17</v>
      </c>
      <c r="C37" t="s">
        <v>17</v>
      </c>
      <c r="D37">
        <v>0.92700000000000005</v>
      </c>
      <c r="E37">
        <v>0.88600000000000001</v>
      </c>
      <c r="F37">
        <v>0.97299999999999998</v>
      </c>
      <c r="G37">
        <v>0.78500000000000003</v>
      </c>
      <c r="H37">
        <v>0.93400000000000005</v>
      </c>
      <c r="I37">
        <v>1.0409999999999999</v>
      </c>
      <c r="J37">
        <v>1.2010000000000001</v>
      </c>
      <c r="K37">
        <v>1.139</v>
      </c>
      <c r="L37">
        <v>7.8869999999999996</v>
      </c>
      <c r="M37">
        <v>5.68</v>
      </c>
      <c r="N37">
        <v>50.536000000000001</v>
      </c>
      <c r="O37">
        <v>36.4</v>
      </c>
      <c r="R37" t="str">
        <f t="shared" si="1"/>
        <v>A06</v>
      </c>
      <c r="U37" t="s">
        <v>15</v>
      </c>
      <c r="V37" t="s">
        <v>15</v>
      </c>
      <c r="W37">
        <v>5.2869999999999999</v>
      </c>
      <c r="X37">
        <v>6.84</v>
      </c>
      <c r="Y37">
        <v>8.8140000000000001</v>
      </c>
      <c r="Z37">
        <v>9.6639999999999997</v>
      </c>
      <c r="AA37">
        <v>11.666</v>
      </c>
      <c r="AB37">
        <v>11.571</v>
      </c>
      <c r="AC37">
        <v>11.48</v>
      </c>
      <c r="AD37">
        <v>12.773999999999999</v>
      </c>
      <c r="AE37">
        <v>78.096000000000004</v>
      </c>
      <c r="AF37">
        <v>1.39</v>
      </c>
      <c r="AG37">
        <v>1430.9359999999999</v>
      </c>
      <c r="AH37">
        <v>25.41</v>
      </c>
    </row>
    <row r="38" spans="2:34" x14ac:dyDescent="0.35">
      <c r="B38" t="s">
        <v>18</v>
      </c>
      <c r="C38" t="s">
        <v>18</v>
      </c>
      <c r="D38">
        <v>7.6999999999999999E-2</v>
      </c>
      <c r="E38">
        <v>9.0999999999999998E-2</v>
      </c>
      <c r="F38">
        <v>0.03</v>
      </c>
      <c r="G38">
        <v>5.5E-2</v>
      </c>
      <c r="H38">
        <v>0.11899999999999999</v>
      </c>
      <c r="I38">
        <v>0.14499999999999999</v>
      </c>
      <c r="J38">
        <v>5.0999999999999997E-2</v>
      </c>
      <c r="K38">
        <v>0.106</v>
      </c>
      <c r="L38">
        <v>0.67500000000000004</v>
      </c>
      <c r="M38">
        <v>0.49</v>
      </c>
      <c r="N38">
        <v>51.210999999999999</v>
      </c>
      <c r="O38">
        <v>36.89</v>
      </c>
      <c r="R38" t="str">
        <f t="shared" si="1"/>
        <v>N05</v>
      </c>
      <c r="U38" t="s">
        <v>16</v>
      </c>
      <c r="V38" t="s">
        <v>16</v>
      </c>
      <c r="W38">
        <v>40.92</v>
      </c>
      <c r="X38">
        <v>40.98</v>
      </c>
      <c r="Y38">
        <v>41.332000000000001</v>
      </c>
      <c r="Z38">
        <v>44.932000000000002</v>
      </c>
      <c r="AA38">
        <v>47.802</v>
      </c>
      <c r="AB38">
        <v>49.405000000000001</v>
      </c>
      <c r="AC38">
        <v>51.063000000000002</v>
      </c>
      <c r="AD38">
        <v>49.13</v>
      </c>
      <c r="AE38">
        <v>365.56299999999999</v>
      </c>
      <c r="AF38">
        <v>6.49</v>
      </c>
      <c r="AG38">
        <v>1796.499</v>
      </c>
      <c r="AH38">
        <v>31.91</v>
      </c>
    </row>
    <row r="39" spans="2:34" x14ac:dyDescent="0.35">
      <c r="B39" t="s">
        <v>19</v>
      </c>
      <c r="C39" t="s">
        <v>19</v>
      </c>
      <c r="D39">
        <v>0.502</v>
      </c>
      <c r="E39">
        <v>0.53600000000000003</v>
      </c>
      <c r="F39">
        <v>0.53800000000000003</v>
      </c>
      <c r="G39">
        <v>0.6</v>
      </c>
      <c r="H39">
        <v>0.63700000000000001</v>
      </c>
      <c r="I39">
        <v>0.64100000000000001</v>
      </c>
      <c r="J39">
        <v>0.63</v>
      </c>
      <c r="K39">
        <v>0.57099999999999995</v>
      </c>
      <c r="L39">
        <v>4.6559999999999997</v>
      </c>
      <c r="M39">
        <v>3.35</v>
      </c>
      <c r="N39">
        <v>55.866999999999997</v>
      </c>
      <c r="O39">
        <v>40.24</v>
      </c>
      <c r="R39" t="str">
        <f t="shared" si="1"/>
        <v>N03</v>
      </c>
      <c r="U39" t="s">
        <v>19</v>
      </c>
      <c r="V39" t="s">
        <v>19</v>
      </c>
      <c r="W39">
        <v>19.542000000000002</v>
      </c>
      <c r="X39">
        <v>20.542000000000002</v>
      </c>
      <c r="Y39">
        <v>21.311</v>
      </c>
      <c r="Z39">
        <v>22.616</v>
      </c>
      <c r="AA39">
        <v>23.169</v>
      </c>
      <c r="AB39">
        <v>23.036000000000001</v>
      </c>
      <c r="AC39">
        <v>23.423999999999999</v>
      </c>
      <c r="AD39">
        <v>22.347999999999999</v>
      </c>
      <c r="AE39">
        <v>175.989</v>
      </c>
      <c r="AF39">
        <v>3.13</v>
      </c>
      <c r="AG39">
        <v>1972.4880000000001</v>
      </c>
      <c r="AH39">
        <v>35.03</v>
      </c>
    </row>
    <row r="40" spans="2:34" x14ac:dyDescent="0.35">
      <c r="B40" t="s">
        <v>20</v>
      </c>
      <c r="C40" t="s">
        <v>20</v>
      </c>
      <c r="D40">
        <v>0.751</v>
      </c>
      <c r="E40">
        <v>0.84399999999999997</v>
      </c>
      <c r="F40">
        <v>0.88200000000000001</v>
      </c>
      <c r="G40">
        <v>0.97799999999999998</v>
      </c>
      <c r="H40">
        <v>1.0609999999999999</v>
      </c>
      <c r="I40">
        <v>1.1000000000000001</v>
      </c>
      <c r="J40">
        <v>1.1579999999999999</v>
      </c>
      <c r="K40">
        <v>0.92800000000000005</v>
      </c>
      <c r="L40">
        <v>7.7009999999999996</v>
      </c>
      <c r="M40">
        <v>5.55</v>
      </c>
      <c r="N40">
        <v>63.567999999999998</v>
      </c>
      <c r="O40">
        <v>45.79</v>
      </c>
      <c r="R40" t="str">
        <f t="shared" si="1"/>
        <v>A12</v>
      </c>
      <c r="U40" t="s">
        <v>21</v>
      </c>
      <c r="V40" t="s">
        <v>21</v>
      </c>
      <c r="W40">
        <v>2.8929999999999998</v>
      </c>
      <c r="X40">
        <v>1.4970000000000001</v>
      </c>
      <c r="Y40">
        <v>3.927</v>
      </c>
      <c r="Z40">
        <v>3.3159999999999998</v>
      </c>
      <c r="AA40">
        <v>2.5339999999999998</v>
      </c>
      <c r="AB40">
        <v>1.546</v>
      </c>
      <c r="AC40">
        <v>5.9290000000000003</v>
      </c>
      <c r="AD40">
        <v>3.246</v>
      </c>
      <c r="AE40">
        <v>24.888000000000002</v>
      </c>
      <c r="AF40">
        <v>0.44</v>
      </c>
      <c r="AG40">
        <v>1997.377</v>
      </c>
      <c r="AH40">
        <v>35.479999999999997</v>
      </c>
    </row>
    <row r="41" spans="2:34" x14ac:dyDescent="0.35">
      <c r="B41" t="s">
        <v>21</v>
      </c>
      <c r="C41" t="s">
        <v>21</v>
      </c>
      <c r="D41">
        <v>7.0000000000000007E-2</v>
      </c>
      <c r="E41">
        <v>3.6999999999999998E-2</v>
      </c>
      <c r="F41">
        <v>0.09</v>
      </c>
      <c r="G41">
        <v>8.1000000000000003E-2</v>
      </c>
      <c r="H41">
        <v>5.1999999999999998E-2</v>
      </c>
      <c r="I41">
        <v>3.5000000000000003E-2</v>
      </c>
      <c r="J41">
        <v>0.154</v>
      </c>
      <c r="K41">
        <v>6.9000000000000006E-2</v>
      </c>
      <c r="L41">
        <v>0.58699999999999997</v>
      </c>
      <c r="M41">
        <v>0.42</v>
      </c>
      <c r="N41">
        <v>64.155000000000001</v>
      </c>
      <c r="O41">
        <v>46.21</v>
      </c>
      <c r="R41" t="str">
        <f t="shared" si="1"/>
        <v>R03</v>
      </c>
      <c r="U41" t="s">
        <v>20</v>
      </c>
      <c r="V41" t="s">
        <v>20</v>
      </c>
      <c r="W41">
        <v>38.497999999999998</v>
      </c>
      <c r="X41">
        <v>38.662999999999997</v>
      </c>
      <c r="Y41">
        <v>38.390999999999998</v>
      </c>
      <c r="Z41">
        <v>39.826999999999998</v>
      </c>
      <c r="AA41">
        <v>38.722999999999999</v>
      </c>
      <c r="AB41">
        <v>39.9</v>
      </c>
      <c r="AC41">
        <v>44.557000000000002</v>
      </c>
      <c r="AD41">
        <v>37.710999999999999</v>
      </c>
      <c r="AE41">
        <v>316.27</v>
      </c>
      <c r="AF41">
        <v>5.62</v>
      </c>
      <c r="AG41">
        <v>2313.6469999999999</v>
      </c>
      <c r="AH41">
        <v>41.09</v>
      </c>
    </row>
    <row r="42" spans="2:34" x14ac:dyDescent="0.35">
      <c r="B42" t="s">
        <v>22</v>
      </c>
      <c r="C42" t="s">
        <v>22</v>
      </c>
      <c r="D42">
        <v>0.54900000000000004</v>
      </c>
      <c r="E42">
        <v>0.57099999999999995</v>
      </c>
      <c r="F42">
        <v>0.58899999999999997</v>
      </c>
      <c r="G42">
        <v>0.63600000000000001</v>
      </c>
      <c r="H42">
        <v>0.73299999999999998</v>
      </c>
      <c r="I42">
        <v>0.82399999999999995</v>
      </c>
      <c r="J42">
        <v>0.86599999999999999</v>
      </c>
      <c r="K42">
        <v>0.75700000000000001</v>
      </c>
      <c r="L42">
        <v>5.5259999999999998</v>
      </c>
      <c r="M42">
        <v>3.98</v>
      </c>
      <c r="N42">
        <v>69.680999999999997</v>
      </c>
      <c r="O42">
        <v>50.19</v>
      </c>
      <c r="R42" t="str">
        <f t="shared" si="1"/>
        <v>A10</v>
      </c>
      <c r="U42" t="s">
        <v>22</v>
      </c>
      <c r="V42" t="s">
        <v>22</v>
      </c>
      <c r="W42">
        <v>28.765000000000001</v>
      </c>
      <c r="X42">
        <v>29.210999999999999</v>
      </c>
      <c r="Y42">
        <v>29.600999999999999</v>
      </c>
      <c r="Z42">
        <v>30.524000000000001</v>
      </c>
      <c r="AA42">
        <v>32.551000000000002</v>
      </c>
      <c r="AB42">
        <v>33.823999999999998</v>
      </c>
      <c r="AC42">
        <v>36.889000000000003</v>
      </c>
      <c r="AD42">
        <v>35.517000000000003</v>
      </c>
      <c r="AE42">
        <v>256.88299999999998</v>
      </c>
      <c r="AF42">
        <v>4.5599999999999996</v>
      </c>
      <c r="AG42">
        <v>2570.5300000000002</v>
      </c>
      <c r="AH42">
        <v>45.66</v>
      </c>
    </row>
    <row r="43" spans="2:34" x14ac:dyDescent="0.35">
      <c r="B43" t="s">
        <v>23</v>
      </c>
      <c r="C43" t="s">
        <v>23</v>
      </c>
      <c r="D43">
        <v>0.39600000000000002</v>
      </c>
      <c r="E43">
        <v>0.40300000000000002</v>
      </c>
      <c r="F43">
        <v>0.39800000000000002</v>
      </c>
      <c r="G43">
        <v>0.436</v>
      </c>
      <c r="H43">
        <v>0.55100000000000005</v>
      </c>
      <c r="I43">
        <v>0.65300000000000002</v>
      </c>
      <c r="J43">
        <v>0.66600000000000004</v>
      </c>
      <c r="K43">
        <v>0.54300000000000004</v>
      </c>
      <c r="L43">
        <v>4.0460000000000003</v>
      </c>
      <c r="M43">
        <v>2.91</v>
      </c>
      <c r="N43">
        <v>73.727000000000004</v>
      </c>
      <c r="O43">
        <v>53.11</v>
      </c>
      <c r="R43" t="str">
        <f t="shared" si="1"/>
        <v>R06</v>
      </c>
      <c r="U43" t="s">
        <v>25</v>
      </c>
      <c r="V43" t="s">
        <v>25</v>
      </c>
      <c r="W43">
        <v>20.158000000000001</v>
      </c>
      <c r="X43">
        <v>14.37</v>
      </c>
      <c r="Y43">
        <v>20.568000000000001</v>
      </c>
      <c r="Z43">
        <v>19.222000000000001</v>
      </c>
      <c r="AA43">
        <v>23.548999999999999</v>
      </c>
      <c r="AB43">
        <v>18.649999999999999</v>
      </c>
      <c r="AC43">
        <v>20.206</v>
      </c>
      <c r="AD43">
        <v>14.837</v>
      </c>
      <c r="AE43">
        <v>151.56100000000001</v>
      </c>
      <c r="AF43">
        <v>2.69</v>
      </c>
      <c r="AG43">
        <v>2722.0909999999999</v>
      </c>
      <c r="AH43">
        <v>48.35</v>
      </c>
    </row>
    <row r="44" spans="2:34" x14ac:dyDescent="0.35">
      <c r="B44" t="s">
        <v>24</v>
      </c>
      <c r="C44" t="s">
        <v>24</v>
      </c>
      <c r="D44">
        <v>0.29899999999999999</v>
      </c>
      <c r="E44">
        <v>0.31900000000000001</v>
      </c>
      <c r="F44">
        <v>0.32200000000000001</v>
      </c>
      <c r="G44">
        <v>0.35899999999999999</v>
      </c>
      <c r="H44">
        <v>0.39700000000000002</v>
      </c>
      <c r="I44">
        <v>0.43</v>
      </c>
      <c r="J44">
        <v>0.42099999999999999</v>
      </c>
      <c r="K44">
        <v>0.36</v>
      </c>
      <c r="L44">
        <v>2.907</v>
      </c>
      <c r="M44">
        <v>2.09</v>
      </c>
      <c r="N44">
        <v>76.632999999999996</v>
      </c>
      <c r="O44">
        <v>55.2</v>
      </c>
      <c r="R44" t="str">
        <f t="shared" si="1"/>
        <v>S01</v>
      </c>
      <c r="U44" t="s">
        <v>29</v>
      </c>
      <c r="V44" t="s">
        <v>29</v>
      </c>
      <c r="W44">
        <v>23.440999999999999</v>
      </c>
      <c r="X44">
        <v>25.706</v>
      </c>
      <c r="Y44">
        <v>23.704999999999998</v>
      </c>
      <c r="Z44">
        <v>23.72</v>
      </c>
      <c r="AA44">
        <v>27.035</v>
      </c>
      <c r="AB44">
        <v>28.986999999999998</v>
      </c>
      <c r="AC44">
        <v>22.663</v>
      </c>
      <c r="AD44">
        <v>27.783999999999999</v>
      </c>
      <c r="AE44">
        <v>203.041</v>
      </c>
      <c r="AF44">
        <v>3.61</v>
      </c>
      <c r="AG44">
        <v>2925.1320000000001</v>
      </c>
      <c r="AH44">
        <v>51.95</v>
      </c>
    </row>
    <row r="45" spans="2:34" x14ac:dyDescent="0.35">
      <c r="B45" t="s">
        <v>25</v>
      </c>
      <c r="C45" t="s">
        <v>25</v>
      </c>
      <c r="D45">
        <v>0.47</v>
      </c>
      <c r="E45">
        <v>0.377</v>
      </c>
      <c r="F45">
        <v>0.43099999999999999</v>
      </c>
      <c r="G45">
        <v>0.45200000000000001</v>
      </c>
      <c r="H45">
        <v>0.57899999999999996</v>
      </c>
      <c r="I45">
        <v>0.55400000000000005</v>
      </c>
      <c r="J45">
        <v>0.56899999999999995</v>
      </c>
      <c r="K45">
        <v>0.44900000000000001</v>
      </c>
      <c r="L45">
        <v>3.8809999999999998</v>
      </c>
      <c r="M45">
        <v>2.8</v>
      </c>
      <c r="N45">
        <v>80.513999999999996</v>
      </c>
      <c r="O45">
        <v>58</v>
      </c>
      <c r="R45" t="str">
        <f t="shared" si="1"/>
        <v>A02</v>
      </c>
      <c r="U45" t="s">
        <v>23</v>
      </c>
      <c r="V45" t="s">
        <v>23</v>
      </c>
      <c r="W45">
        <v>17.292999999999999</v>
      </c>
      <c r="X45">
        <v>17.413</v>
      </c>
      <c r="Y45">
        <v>15.27</v>
      </c>
      <c r="Z45">
        <v>18.117000000000001</v>
      </c>
      <c r="AA45">
        <v>22.042000000000002</v>
      </c>
      <c r="AB45">
        <v>24.616</v>
      </c>
      <c r="AC45">
        <v>26.21</v>
      </c>
      <c r="AD45">
        <v>22.975000000000001</v>
      </c>
      <c r="AE45">
        <v>163.93600000000001</v>
      </c>
      <c r="AF45">
        <v>2.91</v>
      </c>
      <c r="AG45">
        <v>3089.0680000000002</v>
      </c>
      <c r="AH45">
        <v>54.87</v>
      </c>
    </row>
    <row r="46" spans="2:34" x14ac:dyDescent="0.35">
      <c r="B46" t="s">
        <v>26</v>
      </c>
      <c r="C46" t="s">
        <v>26</v>
      </c>
      <c r="D46">
        <v>0.40500000000000003</v>
      </c>
      <c r="E46">
        <v>0.41699999999999998</v>
      </c>
      <c r="F46">
        <v>0.41599999999999998</v>
      </c>
      <c r="G46">
        <v>0.435</v>
      </c>
      <c r="H46">
        <v>0.50600000000000001</v>
      </c>
      <c r="I46">
        <v>0.55200000000000005</v>
      </c>
      <c r="J46">
        <v>0.54400000000000004</v>
      </c>
      <c r="K46">
        <v>0.48</v>
      </c>
      <c r="L46">
        <v>3.7559999999999998</v>
      </c>
      <c r="M46">
        <v>2.71</v>
      </c>
      <c r="N46">
        <v>84.27</v>
      </c>
      <c r="O46">
        <v>60.7</v>
      </c>
      <c r="R46" t="str">
        <f t="shared" si="1"/>
        <v>C10</v>
      </c>
      <c r="U46" t="s">
        <v>26</v>
      </c>
      <c r="V46" t="s">
        <v>26</v>
      </c>
      <c r="W46">
        <v>21.097000000000001</v>
      </c>
      <c r="X46">
        <v>22.193999999999999</v>
      </c>
      <c r="Y46">
        <v>22.638000000000002</v>
      </c>
      <c r="Z46">
        <v>22.523</v>
      </c>
      <c r="AA46">
        <v>23.821999999999999</v>
      </c>
      <c r="AB46">
        <v>23.773</v>
      </c>
      <c r="AC46">
        <v>24.25</v>
      </c>
      <c r="AD46">
        <v>22.673999999999999</v>
      </c>
      <c r="AE46">
        <v>182.971</v>
      </c>
      <c r="AF46">
        <v>3.25</v>
      </c>
      <c r="AG46">
        <v>3272.0390000000002</v>
      </c>
      <c r="AH46">
        <v>58.11</v>
      </c>
    </row>
    <row r="47" spans="2:34" x14ac:dyDescent="0.35">
      <c r="B47" t="s">
        <v>27</v>
      </c>
      <c r="C47" t="s">
        <v>27</v>
      </c>
      <c r="D47">
        <v>0.42099999999999999</v>
      </c>
      <c r="E47">
        <v>0.40699999999999997</v>
      </c>
      <c r="F47">
        <v>0.38</v>
      </c>
      <c r="G47">
        <v>0.39300000000000002</v>
      </c>
      <c r="H47">
        <v>0.442</v>
      </c>
      <c r="I47">
        <v>0.51100000000000001</v>
      </c>
      <c r="J47">
        <v>0.49399999999999999</v>
      </c>
      <c r="K47">
        <v>0.4</v>
      </c>
      <c r="L47">
        <v>3.4489999999999998</v>
      </c>
      <c r="M47">
        <v>2.48</v>
      </c>
      <c r="N47">
        <v>87.718999999999994</v>
      </c>
      <c r="O47">
        <v>63.18</v>
      </c>
      <c r="R47" t="str">
        <f t="shared" si="1"/>
        <v>C09</v>
      </c>
      <c r="U47" t="s">
        <v>27</v>
      </c>
      <c r="V47" t="s">
        <v>27</v>
      </c>
      <c r="W47">
        <v>21.884</v>
      </c>
      <c r="X47">
        <v>21.06</v>
      </c>
      <c r="Y47">
        <v>20.472000000000001</v>
      </c>
      <c r="Z47">
        <v>20.266999999999999</v>
      </c>
      <c r="AA47">
        <v>19.928000000000001</v>
      </c>
      <c r="AB47">
        <v>20.436</v>
      </c>
      <c r="AC47">
        <v>21.029</v>
      </c>
      <c r="AD47">
        <v>18.27</v>
      </c>
      <c r="AE47">
        <v>163.346</v>
      </c>
      <c r="AF47">
        <v>2.9</v>
      </c>
      <c r="AG47">
        <v>3435.3850000000002</v>
      </c>
      <c r="AH47">
        <v>61.02</v>
      </c>
    </row>
    <row r="48" spans="2:34" x14ac:dyDescent="0.35">
      <c r="B48" t="s">
        <v>28</v>
      </c>
      <c r="C48" t="s">
        <v>28</v>
      </c>
      <c r="D48">
        <v>0.27900000000000003</v>
      </c>
      <c r="E48">
        <v>0.29299999999999998</v>
      </c>
      <c r="F48">
        <v>0.3</v>
      </c>
      <c r="G48">
        <v>0.31900000000000001</v>
      </c>
      <c r="H48">
        <v>0.36299999999999999</v>
      </c>
      <c r="I48">
        <v>0.39200000000000002</v>
      </c>
      <c r="J48">
        <v>0.39700000000000002</v>
      </c>
      <c r="K48">
        <v>0.35399999999999998</v>
      </c>
      <c r="L48">
        <v>2.6970000000000001</v>
      </c>
      <c r="M48">
        <v>1.94</v>
      </c>
      <c r="N48">
        <v>90.415999999999997</v>
      </c>
      <c r="O48">
        <v>65.13</v>
      </c>
      <c r="R48" t="str">
        <f t="shared" si="1"/>
        <v>C07</v>
      </c>
      <c r="U48" t="s">
        <v>24</v>
      </c>
      <c r="V48" t="s">
        <v>24</v>
      </c>
      <c r="W48">
        <v>13.199</v>
      </c>
      <c r="X48">
        <v>13.885999999999999</v>
      </c>
      <c r="Y48">
        <v>14.115</v>
      </c>
      <c r="Z48">
        <v>14.808999999999999</v>
      </c>
      <c r="AA48">
        <v>14.814</v>
      </c>
      <c r="AB48">
        <v>14.818</v>
      </c>
      <c r="AC48">
        <v>14.89</v>
      </c>
      <c r="AD48">
        <v>13.571999999999999</v>
      </c>
      <c r="AE48">
        <v>114.102</v>
      </c>
      <c r="AF48">
        <v>2.0299999999999998</v>
      </c>
      <c r="AG48">
        <v>3549.4879999999998</v>
      </c>
      <c r="AH48">
        <v>63.04</v>
      </c>
    </row>
    <row r="49" spans="2:34" x14ac:dyDescent="0.35">
      <c r="B49" t="s">
        <v>29</v>
      </c>
      <c r="C49" t="s">
        <v>29</v>
      </c>
      <c r="D49">
        <v>0.47099999999999997</v>
      </c>
      <c r="E49">
        <v>0.47099999999999997</v>
      </c>
      <c r="F49">
        <v>0.42</v>
      </c>
      <c r="G49">
        <v>0.46899999999999997</v>
      </c>
      <c r="H49">
        <v>0.46</v>
      </c>
      <c r="I49">
        <v>0.52700000000000002</v>
      </c>
      <c r="J49">
        <v>0.439</v>
      </c>
      <c r="K49">
        <v>0.51500000000000001</v>
      </c>
      <c r="L49">
        <v>3.7709999999999999</v>
      </c>
      <c r="M49">
        <v>2.72</v>
      </c>
      <c r="N49">
        <v>94.186999999999998</v>
      </c>
      <c r="O49">
        <v>67.84</v>
      </c>
      <c r="R49" t="str">
        <f t="shared" si="1"/>
        <v>M03</v>
      </c>
      <c r="U49" t="s">
        <v>28</v>
      </c>
      <c r="V49" t="s">
        <v>28</v>
      </c>
      <c r="W49">
        <v>10.632</v>
      </c>
      <c r="X49">
        <v>11.231999999999999</v>
      </c>
      <c r="Y49">
        <v>11.388</v>
      </c>
      <c r="Z49">
        <v>11.441000000000001</v>
      </c>
      <c r="AA49">
        <v>12.196999999999999</v>
      </c>
      <c r="AB49">
        <v>12.428000000000001</v>
      </c>
      <c r="AC49">
        <v>12.808</v>
      </c>
      <c r="AD49">
        <v>12.151999999999999</v>
      </c>
      <c r="AE49">
        <v>94.278000000000006</v>
      </c>
      <c r="AF49">
        <v>1.67</v>
      </c>
      <c r="AG49">
        <v>3643.7660000000001</v>
      </c>
      <c r="AH49">
        <v>64.72</v>
      </c>
    </row>
    <row r="50" spans="2:34" x14ac:dyDescent="0.35">
      <c r="B50" t="s">
        <v>30</v>
      </c>
      <c r="C50" t="s">
        <v>30</v>
      </c>
      <c r="D50">
        <v>0.29899999999999999</v>
      </c>
      <c r="E50">
        <v>0.32100000000000001</v>
      </c>
      <c r="F50">
        <v>0.312</v>
      </c>
      <c r="G50">
        <v>0.34300000000000003</v>
      </c>
      <c r="H50">
        <v>0.38400000000000001</v>
      </c>
      <c r="I50">
        <v>0.36099999999999999</v>
      </c>
      <c r="J50">
        <v>0.35299999999999998</v>
      </c>
      <c r="K50">
        <v>0.309</v>
      </c>
      <c r="L50">
        <v>2.6829999999999998</v>
      </c>
      <c r="M50">
        <v>1.93</v>
      </c>
      <c r="N50">
        <v>96.87</v>
      </c>
      <c r="O50">
        <v>69.78</v>
      </c>
      <c r="R50" t="str">
        <f t="shared" si="1"/>
        <v>C03</v>
      </c>
      <c r="U50" t="s">
        <v>30</v>
      </c>
      <c r="V50" t="s">
        <v>30</v>
      </c>
      <c r="W50">
        <v>13.395</v>
      </c>
      <c r="X50">
        <v>14.298</v>
      </c>
      <c r="Y50">
        <v>13.967000000000001</v>
      </c>
      <c r="Z50">
        <v>14.316000000000001</v>
      </c>
      <c r="AA50">
        <v>14.603</v>
      </c>
      <c r="AB50">
        <v>13.177</v>
      </c>
      <c r="AC50">
        <v>13.121</v>
      </c>
      <c r="AD50">
        <v>12.26</v>
      </c>
      <c r="AE50">
        <v>109.13800000000001</v>
      </c>
      <c r="AF50">
        <v>1.94</v>
      </c>
      <c r="AG50">
        <v>3752.904</v>
      </c>
      <c r="AH50">
        <v>66.66</v>
      </c>
    </row>
    <row r="51" spans="2:34" x14ac:dyDescent="0.35">
      <c r="B51" t="s">
        <v>31</v>
      </c>
      <c r="C51" t="s">
        <v>31</v>
      </c>
      <c r="D51">
        <v>0.20699999999999999</v>
      </c>
      <c r="E51">
        <v>0.29199999999999998</v>
      </c>
      <c r="F51">
        <v>0.253</v>
      </c>
      <c r="G51">
        <v>0.185</v>
      </c>
      <c r="H51">
        <v>0.105</v>
      </c>
      <c r="I51">
        <v>0.249</v>
      </c>
      <c r="J51">
        <v>0.245</v>
      </c>
      <c r="K51">
        <v>0.21299999999999999</v>
      </c>
      <c r="L51">
        <v>1.748</v>
      </c>
      <c r="M51">
        <v>1.26</v>
      </c>
      <c r="N51">
        <v>98.617999999999995</v>
      </c>
      <c r="O51">
        <v>71.040000000000006</v>
      </c>
      <c r="R51" t="str">
        <f t="shared" si="1"/>
        <v>R05</v>
      </c>
      <c r="U51" t="s">
        <v>31</v>
      </c>
      <c r="V51" t="s">
        <v>31</v>
      </c>
      <c r="W51">
        <v>6.2089999999999996</v>
      </c>
      <c r="X51">
        <v>8.9789999999999992</v>
      </c>
      <c r="Y51">
        <v>7.9550000000000001</v>
      </c>
      <c r="Z51">
        <v>5.4779999999999998</v>
      </c>
      <c r="AA51">
        <v>3.766</v>
      </c>
      <c r="AB51">
        <v>6.8760000000000003</v>
      </c>
      <c r="AC51">
        <v>7.2519999999999998</v>
      </c>
      <c r="AD51">
        <v>8.2219999999999995</v>
      </c>
      <c r="AE51">
        <v>54.738</v>
      </c>
      <c r="AF51">
        <v>0.97</v>
      </c>
      <c r="AG51">
        <v>3807.6419999999998</v>
      </c>
      <c r="AH51">
        <v>67.63</v>
      </c>
    </row>
    <row r="52" spans="2:34" x14ac:dyDescent="0.35">
      <c r="B52" t="s">
        <v>32</v>
      </c>
      <c r="C52" t="s">
        <v>32</v>
      </c>
      <c r="D52">
        <v>7.0000000000000001E-3</v>
      </c>
      <c r="E52">
        <v>8.0000000000000002E-3</v>
      </c>
      <c r="F52">
        <v>8.0000000000000002E-3</v>
      </c>
      <c r="G52">
        <v>1.4E-2</v>
      </c>
      <c r="H52">
        <v>1.0999999999999999E-2</v>
      </c>
      <c r="I52">
        <v>1.0999999999999999E-2</v>
      </c>
      <c r="J52">
        <v>1.4E-2</v>
      </c>
      <c r="K52">
        <v>1.0999999999999999E-2</v>
      </c>
      <c r="L52">
        <v>8.3000000000000004E-2</v>
      </c>
      <c r="M52">
        <v>0.06</v>
      </c>
      <c r="N52">
        <v>98.701999999999998</v>
      </c>
      <c r="O52">
        <v>71.099999999999994</v>
      </c>
      <c r="R52" t="str">
        <f t="shared" si="1"/>
        <v>C08</v>
      </c>
      <c r="U52" t="s">
        <v>35</v>
      </c>
      <c r="V52" t="s">
        <v>35</v>
      </c>
      <c r="W52">
        <v>10.103999999999999</v>
      </c>
      <c r="X52">
        <v>10.972</v>
      </c>
      <c r="Y52">
        <v>11.278</v>
      </c>
      <c r="Z52">
        <v>11.465</v>
      </c>
      <c r="AA52">
        <v>11.425000000000001</v>
      </c>
      <c r="AB52">
        <v>10.948</v>
      </c>
      <c r="AC52">
        <v>11.087</v>
      </c>
      <c r="AD52">
        <v>10.209</v>
      </c>
      <c r="AE52">
        <v>87.486999999999995</v>
      </c>
      <c r="AF52">
        <v>1.55</v>
      </c>
      <c r="AG52">
        <v>3895.1289999999999</v>
      </c>
      <c r="AH52">
        <v>69.180000000000007</v>
      </c>
    </row>
    <row r="53" spans="2:34" x14ac:dyDescent="0.35">
      <c r="B53" t="s">
        <v>33</v>
      </c>
      <c r="C53" t="s">
        <v>33</v>
      </c>
      <c r="D53">
        <v>0.25</v>
      </c>
      <c r="E53">
        <v>0.23899999999999999</v>
      </c>
      <c r="F53">
        <v>0.22600000000000001</v>
      </c>
      <c r="G53">
        <v>0.23200000000000001</v>
      </c>
      <c r="H53">
        <v>0.251</v>
      </c>
      <c r="I53">
        <v>0.26500000000000001</v>
      </c>
      <c r="J53">
        <v>0.26</v>
      </c>
      <c r="K53">
        <v>0.215</v>
      </c>
      <c r="L53">
        <v>1.9390000000000001</v>
      </c>
      <c r="M53">
        <v>1.4</v>
      </c>
      <c r="N53">
        <v>100.64</v>
      </c>
      <c r="O53">
        <v>72.489999999999995</v>
      </c>
      <c r="R53" t="str">
        <f t="shared" si="1"/>
        <v>M01</v>
      </c>
      <c r="U53" t="s">
        <v>34</v>
      </c>
      <c r="V53" t="s">
        <v>34</v>
      </c>
      <c r="W53">
        <v>9.8940000000000001</v>
      </c>
      <c r="X53">
        <v>10.468999999999999</v>
      </c>
      <c r="Y53">
        <v>10.083</v>
      </c>
      <c r="Z53">
        <v>10.58</v>
      </c>
      <c r="AA53">
        <v>6.9450000000000003</v>
      </c>
      <c r="AB53">
        <v>7.7919999999999998</v>
      </c>
      <c r="AC53">
        <v>11.222</v>
      </c>
      <c r="AD53">
        <v>12.087</v>
      </c>
      <c r="AE53">
        <v>79.072999999999993</v>
      </c>
      <c r="AF53">
        <v>1.4</v>
      </c>
      <c r="AG53">
        <v>3974.2020000000002</v>
      </c>
      <c r="AH53">
        <v>70.59</v>
      </c>
    </row>
    <row r="54" spans="2:34" x14ac:dyDescent="0.35">
      <c r="B54" t="s">
        <v>34</v>
      </c>
      <c r="C54" t="s">
        <v>34</v>
      </c>
      <c r="D54">
        <v>0.252</v>
      </c>
      <c r="E54">
        <v>0.26900000000000002</v>
      </c>
      <c r="F54">
        <v>0.2</v>
      </c>
      <c r="G54">
        <v>0.248</v>
      </c>
      <c r="H54">
        <v>0.21299999999999999</v>
      </c>
      <c r="I54">
        <v>0.216</v>
      </c>
      <c r="J54">
        <v>0.27100000000000002</v>
      </c>
      <c r="K54">
        <v>0.25600000000000001</v>
      </c>
      <c r="L54">
        <v>1.9259999999999999</v>
      </c>
      <c r="M54">
        <v>1.39</v>
      </c>
      <c r="N54">
        <v>102.566</v>
      </c>
      <c r="O54">
        <v>73.88</v>
      </c>
      <c r="R54" t="str">
        <f t="shared" si="1"/>
        <v>D07</v>
      </c>
      <c r="U54" t="s">
        <v>40</v>
      </c>
      <c r="V54" t="s">
        <v>40</v>
      </c>
      <c r="W54">
        <v>11.452</v>
      </c>
      <c r="X54">
        <v>7.0960000000000001</v>
      </c>
      <c r="Y54">
        <v>12.349</v>
      </c>
      <c r="Z54">
        <v>18.437000000000001</v>
      </c>
      <c r="AA54">
        <v>9.6319999999999997</v>
      </c>
      <c r="AB54">
        <v>14.154</v>
      </c>
      <c r="AC54">
        <v>14.913</v>
      </c>
      <c r="AD54">
        <v>13.836</v>
      </c>
      <c r="AE54">
        <v>101.869</v>
      </c>
      <c r="AF54">
        <v>1.81</v>
      </c>
      <c r="AG54">
        <v>4076.0709999999999</v>
      </c>
      <c r="AH54">
        <v>72.400000000000006</v>
      </c>
    </row>
    <row r="55" spans="2:34" x14ac:dyDescent="0.35">
      <c r="B55" s="4" t="s">
        <v>35</v>
      </c>
      <c r="C55" s="4" t="e">
        <v>#N/A</v>
      </c>
      <c r="D55">
        <v>0.191</v>
      </c>
      <c r="E55">
        <v>0.20200000000000001</v>
      </c>
      <c r="F55">
        <v>0.19800000000000001</v>
      </c>
      <c r="G55">
        <v>0.217</v>
      </c>
      <c r="H55">
        <v>0.24299999999999999</v>
      </c>
      <c r="I55">
        <v>0.25900000000000001</v>
      </c>
      <c r="J55">
        <v>0.25700000000000001</v>
      </c>
      <c r="K55">
        <v>0.223</v>
      </c>
      <c r="L55">
        <v>1.7909999999999999</v>
      </c>
      <c r="M55">
        <v>1.29</v>
      </c>
      <c r="N55">
        <v>104.357</v>
      </c>
      <c r="O55">
        <v>75.17</v>
      </c>
      <c r="R55" t="e">
        <f t="shared" si="1"/>
        <v>#N/A</v>
      </c>
      <c r="U55" t="s">
        <v>43</v>
      </c>
      <c r="V55" t="s">
        <v>43</v>
      </c>
      <c r="W55">
        <v>6.835</v>
      </c>
      <c r="X55">
        <v>1.845</v>
      </c>
      <c r="Y55">
        <v>8.8829999999999991</v>
      </c>
      <c r="Z55">
        <v>2.2440000000000002</v>
      </c>
      <c r="AA55">
        <v>5.3979999999999997</v>
      </c>
      <c r="AB55">
        <v>11.186</v>
      </c>
      <c r="AC55">
        <v>10.776999999999999</v>
      </c>
      <c r="AD55">
        <v>1.0760000000000001</v>
      </c>
      <c r="AE55">
        <v>48.244999999999997</v>
      </c>
      <c r="AF55">
        <v>0.86</v>
      </c>
      <c r="AG55">
        <v>4124.3149999999996</v>
      </c>
      <c r="AH55">
        <v>73.25</v>
      </c>
    </row>
    <row r="56" spans="2:34" x14ac:dyDescent="0.35">
      <c r="B56" s="4" t="s">
        <v>36</v>
      </c>
      <c r="C56" s="4" t="e">
        <v>#N/A</v>
      </c>
      <c r="D56">
        <v>0.17599999999999999</v>
      </c>
      <c r="E56">
        <v>0.17100000000000001</v>
      </c>
      <c r="F56">
        <v>0.23400000000000001</v>
      </c>
      <c r="G56">
        <v>0.248</v>
      </c>
      <c r="H56">
        <v>0.22800000000000001</v>
      </c>
      <c r="I56">
        <v>0.25600000000000001</v>
      </c>
      <c r="J56">
        <v>0.30299999999999999</v>
      </c>
      <c r="K56">
        <v>0.245</v>
      </c>
      <c r="L56">
        <v>1.86</v>
      </c>
      <c r="M56">
        <v>1.34</v>
      </c>
      <c r="N56">
        <v>106.217</v>
      </c>
      <c r="O56">
        <v>76.510000000000005</v>
      </c>
      <c r="R56" t="str">
        <f t="shared" si="1"/>
        <v>H03</v>
      </c>
      <c r="U56" t="s">
        <v>33</v>
      </c>
      <c r="V56" t="s">
        <v>33</v>
      </c>
      <c r="W56">
        <v>10.86</v>
      </c>
      <c r="X56">
        <v>10.83</v>
      </c>
      <c r="Y56">
        <v>10.597</v>
      </c>
      <c r="Z56">
        <v>10.34</v>
      </c>
      <c r="AA56">
        <v>10.535</v>
      </c>
      <c r="AB56">
        <v>10.271000000000001</v>
      </c>
      <c r="AC56">
        <v>10.585000000000001</v>
      </c>
      <c r="AD56">
        <v>9.1240000000000006</v>
      </c>
      <c r="AE56">
        <v>83.141999999999996</v>
      </c>
      <c r="AF56">
        <v>1.48</v>
      </c>
      <c r="AG56">
        <v>4207.4579999999996</v>
      </c>
      <c r="AH56">
        <v>74.73</v>
      </c>
    </row>
    <row r="57" spans="2:34" x14ac:dyDescent="0.35">
      <c r="B57" s="4" t="s">
        <v>37</v>
      </c>
      <c r="C57" s="4" t="e">
        <v>#N/A</v>
      </c>
      <c r="D57">
        <v>0.153</v>
      </c>
      <c r="E57">
        <v>0.19700000000000001</v>
      </c>
      <c r="F57">
        <v>0.23799999999999999</v>
      </c>
      <c r="G57">
        <v>0.17699999999999999</v>
      </c>
      <c r="H57">
        <v>0.251</v>
      </c>
      <c r="I57">
        <v>0.26</v>
      </c>
      <c r="J57">
        <v>0.21199999999999999</v>
      </c>
      <c r="K57">
        <v>0.23599999999999999</v>
      </c>
      <c r="L57">
        <v>1.7230000000000001</v>
      </c>
      <c r="M57">
        <v>1.24</v>
      </c>
      <c r="N57">
        <v>107.941</v>
      </c>
      <c r="O57">
        <v>77.75</v>
      </c>
      <c r="R57" t="str">
        <f t="shared" si="1"/>
        <v>G03</v>
      </c>
      <c r="U57" s="4" t="s">
        <v>39</v>
      </c>
      <c r="V57" s="4" t="e">
        <v>#N/A</v>
      </c>
      <c r="W57" s="4">
        <v>11.451000000000001</v>
      </c>
      <c r="X57" s="4">
        <v>9.7639999999999993</v>
      </c>
      <c r="Y57" s="4">
        <v>9.8840000000000003</v>
      </c>
      <c r="Z57" s="4">
        <v>11.500999999999999</v>
      </c>
      <c r="AA57" s="4">
        <v>12.878</v>
      </c>
      <c r="AB57" s="4">
        <v>13.551</v>
      </c>
      <c r="AC57" s="4">
        <v>13.45</v>
      </c>
      <c r="AD57" s="4">
        <v>12.108000000000001</v>
      </c>
      <c r="AE57" s="4">
        <v>94.584999999999994</v>
      </c>
      <c r="AF57" s="4">
        <v>1.68</v>
      </c>
      <c r="AG57" s="4">
        <v>4302.0429999999997</v>
      </c>
      <c r="AH57" s="4">
        <v>76.41</v>
      </c>
    </row>
    <row r="58" spans="2:34" x14ac:dyDescent="0.35">
      <c r="B58" s="4" t="s">
        <v>38</v>
      </c>
      <c r="C58" s="4" t="e">
        <v>#N/A</v>
      </c>
      <c r="D58">
        <v>0.109</v>
      </c>
      <c r="E58">
        <v>0.12</v>
      </c>
      <c r="F58">
        <v>0.112</v>
      </c>
      <c r="G58">
        <v>0.112</v>
      </c>
      <c r="H58">
        <v>0.124</v>
      </c>
      <c r="I58">
        <v>0.13600000000000001</v>
      </c>
      <c r="J58">
        <v>0.128</v>
      </c>
      <c r="K58">
        <v>0.123</v>
      </c>
      <c r="L58">
        <v>0.96399999999999997</v>
      </c>
      <c r="M58">
        <v>0.69</v>
      </c>
      <c r="N58">
        <v>108.904</v>
      </c>
      <c r="O58">
        <v>78.45</v>
      </c>
      <c r="R58" t="e">
        <f t="shared" si="1"/>
        <v>#N/A</v>
      </c>
      <c r="U58" s="4" t="s">
        <v>41</v>
      </c>
      <c r="V58" s="4" t="e">
        <v>#N/A</v>
      </c>
      <c r="W58" s="4">
        <v>10.06</v>
      </c>
      <c r="X58" s="4">
        <v>16.373000000000001</v>
      </c>
      <c r="Y58" s="4">
        <v>11.718</v>
      </c>
      <c r="Z58" s="4">
        <v>3.5049999999999999</v>
      </c>
      <c r="AA58" s="4">
        <v>15.471</v>
      </c>
      <c r="AB58" s="4">
        <v>13.449</v>
      </c>
      <c r="AC58" s="4">
        <v>8.5990000000000002</v>
      </c>
      <c r="AD58" s="4">
        <v>11.994</v>
      </c>
      <c r="AE58" s="4">
        <v>91.168999999999997</v>
      </c>
      <c r="AF58" s="4">
        <v>1.62</v>
      </c>
      <c r="AG58" s="4">
        <v>4393.2120000000004</v>
      </c>
      <c r="AH58" s="4">
        <v>78.03</v>
      </c>
    </row>
    <row r="59" spans="2:34" x14ac:dyDescent="0.35">
      <c r="B59" s="4" t="s">
        <v>39</v>
      </c>
      <c r="C59" s="4" t="e">
        <v>#N/A</v>
      </c>
      <c r="D59">
        <v>0.246</v>
      </c>
      <c r="E59">
        <v>0.22900000000000001</v>
      </c>
      <c r="F59">
        <v>0.247</v>
      </c>
      <c r="G59">
        <v>0.28899999999999998</v>
      </c>
      <c r="H59">
        <v>0.35499999999999998</v>
      </c>
      <c r="I59">
        <v>0.376</v>
      </c>
      <c r="J59">
        <v>0.375</v>
      </c>
      <c r="K59">
        <v>0.30499999999999999</v>
      </c>
      <c r="L59">
        <v>2.4220000000000002</v>
      </c>
      <c r="M59">
        <v>1.74</v>
      </c>
      <c r="N59">
        <v>111.32599999999999</v>
      </c>
      <c r="O59">
        <v>80.19</v>
      </c>
      <c r="R59" t="str">
        <f t="shared" si="1"/>
        <v>B02</v>
      </c>
      <c r="U59" s="4" t="s">
        <v>32</v>
      </c>
      <c r="V59" s="4" t="e">
        <v>#N/A</v>
      </c>
      <c r="W59" s="4">
        <v>0.23499999999999999</v>
      </c>
      <c r="X59" s="4">
        <v>0.248</v>
      </c>
      <c r="Y59" s="4">
        <v>0.22</v>
      </c>
      <c r="Z59" s="4">
        <v>0.47</v>
      </c>
      <c r="AA59" s="4">
        <v>0.26100000000000001</v>
      </c>
      <c r="AB59" s="4">
        <v>0.36899999999999999</v>
      </c>
      <c r="AC59" s="4">
        <v>0.58799999999999997</v>
      </c>
      <c r="AD59" s="4">
        <v>0.48199999999999998</v>
      </c>
      <c r="AE59" s="4">
        <v>2.8730000000000002</v>
      </c>
      <c r="AF59" s="4">
        <v>0.05</v>
      </c>
      <c r="AG59" s="4">
        <v>4396.085</v>
      </c>
      <c r="AH59" s="4">
        <v>78.08</v>
      </c>
    </row>
    <row r="60" spans="2:34" x14ac:dyDescent="0.35">
      <c r="B60" s="4" t="s">
        <v>40</v>
      </c>
      <c r="C60" s="4" t="e">
        <v>#N/A</v>
      </c>
      <c r="D60">
        <v>0.18099999999999999</v>
      </c>
      <c r="E60">
        <v>0.13200000000000001</v>
      </c>
      <c r="F60">
        <v>0.192</v>
      </c>
      <c r="G60">
        <v>0.312</v>
      </c>
      <c r="H60">
        <v>0.185</v>
      </c>
      <c r="I60">
        <v>0.23499999999999999</v>
      </c>
      <c r="J60">
        <v>0.32300000000000001</v>
      </c>
      <c r="K60">
        <v>0.30599999999999999</v>
      </c>
      <c r="L60">
        <v>1.8660000000000001</v>
      </c>
      <c r="M60">
        <v>1.34</v>
      </c>
      <c r="N60">
        <v>113.19199999999999</v>
      </c>
      <c r="O60">
        <v>81.53</v>
      </c>
      <c r="R60" t="str">
        <f t="shared" si="1"/>
        <v>C02</v>
      </c>
      <c r="U60" s="4" t="s">
        <v>36</v>
      </c>
      <c r="V60" s="4" t="e">
        <v>#N/A</v>
      </c>
      <c r="W60" s="4">
        <v>6.3639999999999999</v>
      </c>
      <c r="X60" s="4">
        <v>6.0069999999999997</v>
      </c>
      <c r="Y60" s="4">
        <v>8.4960000000000004</v>
      </c>
      <c r="Z60" s="4">
        <v>8.8680000000000003</v>
      </c>
      <c r="AA60" s="4">
        <v>7.0869999999999997</v>
      </c>
      <c r="AB60" s="4">
        <v>7.6769999999999996</v>
      </c>
      <c r="AC60" s="4">
        <v>9.6649999999999991</v>
      </c>
      <c r="AD60" s="4">
        <v>8.4949999999999992</v>
      </c>
      <c r="AE60" s="4">
        <v>62.658999999999999</v>
      </c>
      <c r="AF60" s="4">
        <v>1.1100000000000001</v>
      </c>
      <c r="AG60" s="4">
        <v>4458.7439999999997</v>
      </c>
      <c r="AH60" s="4">
        <v>79.19</v>
      </c>
    </row>
    <row r="61" spans="2:34" x14ac:dyDescent="0.35">
      <c r="R61" t="str">
        <f t="shared" si="1"/>
        <v>B01</v>
      </c>
      <c r="U61" s="4" t="s">
        <v>37</v>
      </c>
      <c r="V61" s="4" t="e">
        <v>#N/A</v>
      </c>
      <c r="W61" s="4">
        <v>6.609</v>
      </c>
      <c r="X61" s="4">
        <v>9.0239999999999991</v>
      </c>
      <c r="Y61" s="4">
        <v>10.178000000000001</v>
      </c>
      <c r="Z61" s="4">
        <v>7.4489999999999998</v>
      </c>
      <c r="AA61" s="4">
        <v>8.8360000000000003</v>
      </c>
      <c r="AB61" s="4">
        <v>9.0060000000000002</v>
      </c>
      <c r="AC61" s="4">
        <v>7.9809999999999999</v>
      </c>
      <c r="AD61" s="4">
        <v>9.8040000000000003</v>
      </c>
      <c r="AE61" s="4">
        <v>68.885999999999996</v>
      </c>
      <c r="AF61" s="4">
        <v>1.22</v>
      </c>
      <c r="AG61" s="4">
        <v>4527.63</v>
      </c>
      <c r="AH61" s="4">
        <v>80.42</v>
      </c>
    </row>
  </sheetData>
  <mergeCells count="2">
    <mergeCell ref="C4:G4"/>
    <mergeCell ref="W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7"/>
  <sheetViews>
    <sheetView workbookViewId="0">
      <selection activeCell="N5" sqref="N5"/>
    </sheetView>
  </sheetViews>
  <sheetFormatPr defaultRowHeight="14.5" x14ac:dyDescent="0.35"/>
  <cols>
    <col min="1" max="1" width="9.26953125" bestFit="1" customWidth="1"/>
    <col min="2" max="9" width="10.26953125" bestFit="1" customWidth="1"/>
    <col min="10" max="10" width="10.54296875" bestFit="1" customWidth="1"/>
    <col min="11" max="11" width="10.1796875" bestFit="1" customWidth="1"/>
    <col min="12" max="12" width="15.81640625" bestFit="1" customWidth="1"/>
    <col min="13" max="13" width="26.453125" bestFit="1" customWidth="1"/>
  </cols>
  <sheetData>
    <row r="1" spans="1:13" x14ac:dyDescent="0.3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10</v>
      </c>
      <c r="L1" s="1" t="s">
        <v>118</v>
      </c>
      <c r="M1" s="1" t="s">
        <v>119</v>
      </c>
    </row>
    <row r="2" spans="1:13" x14ac:dyDescent="0.35">
      <c r="A2" t="s">
        <v>13</v>
      </c>
      <c r="B2">
        <v>1151</v>
      </c>
      <c r="C2">
        <v>1203</v>
      </c>
      <c r="D2">
        <v>1264</v>
      </c>
      <c r="E2">
        <v>1312</v>
      </c>
      <c r="F2">
        <v>1384</v>
      </c>
      <c r="G2">
        <v>1402</v>
      </c>
      <c r="H2">
        <v>1605</v>
      </c>
      <c r="I2">
        <v>1546</v>
      </c>
      <c r="J2">
        <v>10867</v>
      </c>
      <c r="K2">
        <v>8.35</v>
      </c>
      <c r="L2">
        <v>10867</v>
      </c>
      <c r="M2">
        <v>8.35</v>
      </c>
    </row>
    <row r="3" spans="1:13" x14ac:dyDescent="0.35">
      <c r="A3" t="s">
        <v>14</v>
      </c>
      <c r="B3">
        <v>726</v>
      </c>
      <c r="C3">
        <v>749</v>
      </c>
      <c r="D3">
        <v>758</v>
      </c>
      <c r="E3">
        <v>858</v>
      </c>
      <c r="F3">
        <v>882</v>
      </c>
      <c r="G3">
        <v>920</v>
      </c>
      <c r="H3">
        <v>904</v>
      </c>
      <c r="I3">
        <v>871</v>
      </c>
      <c r="J3">
        <v>6668</v>
      </c>
      <c r="K3">
        <v>5.13</v>
      </c>
      <c r="L3">
        <v>17535</v>
      </c>
      <c r="M3">
        <v>13.48</v>
      </c>
    </row>
    <row r="4" spans="1:13" x14ac:dyDescent="0.35">
      <c r="A4" t="s">
        <v>15</v>
      </c>
      <c r="B4">
        <v>108</v>
      </c>
      <c r="C4">
        <v>127</v>
      </c>
      <c r="D4">
        <v>160</v>
      </c>
      <c r="E4">
        <v>172</v>
      </c>
      <c r="F4">
        <v>201</v>
      </c>
      <c r="G4">
        <v>193</v>
      </c>
      <c r="H4">
        <v>212</v>
      </c>
      <c r="I4">
        <v>231</v>
      </c>
      <c r="J4">
        <v>1404</v>
      </c>
      <c r="K4">
        <v>1.08</v>
      </c>
      <c r="L4">
        <v>18939</v>
      </c>
      <c r="M4">
        <v>14.56</v>
      </c>
    </row>
    <row r="5" spans="1:13" x14ac:dyDescent="0.35">
      <c r="A5" t="s">
        <v>16</v>
      </c>
      <c r="B5">
        <v>946</v>
      </c>
      <c r="C5">
        <v>992</v>
      </c>
      <c r="D5">
        <v>948</v>
      </c>
      <c r="E5">
        <v>1027</v>
      </c>
      <c r="F5">
        <v>1078</v>
      </c>
      <c r="G5">
        <v>1061</v>
      </c>
      <c r="H5">
        <v>1103</v>
      </c>
      <c r="I5">
        <v>1063</v>
      </c>
      <c r="J5">
        <v>8218</v>
      </c>
      <c r="K5">
        <v>6.32</v>
      </c>
      <c r="L5">
        <v>27157</v>
      </c>
      <c r="M5">
        <v>20.88</v>
      </c>
    </row>
    <row r="6" spans="1:13" x14ac:dyDescent="0.35">
      <c r="A6" t="s">
        <v>17</v>
      </c>
      <c r="B6">
        <v>786</v>
      </c>
      <c r="C6">
        <v>803</v>
      </c>
      <c r="D6">
        <v>792</v>
      </c>
      <c r="E6">
        <v>736</v>
      </c>
      <c r="F6">
        <v>818</v>
      </c>
      <c r="G6">
        <v>818</v>
      </c>
      <c r="H6">
        <v>830</v>
      </c>
      <c r="I6">
        <v>825</v>
      </c>
      <c r="J6">
        <v>6408</v>
      </c>
      <c r="K6">
        <v>4.93</v>
      </c>
      <c r="L6">
        <v>33565</v>
      </c>
      <c r="M6">
        <v>25.8</v>
      </c>
    </row>
    <row r="7" spans="1:13" x14ac:dyDescent="0.35">
      <c r="A7" t="s">
        <v>18</v>
      </c>
      <c r="B7">
        <v>176</v>
      </c>
      <c r="C7">
        <v>191</v>
      </c>
      <c r="D7">
        <v>130</v>
      </c>
      <c r="E7">
        <v>154</v>
      </c>
      <c r="F7">
        <v>226</v>
      </c>
      <c r="G7">
        <v>237</v>
      </c>
      <c r="H7">
        <v>187</v>
      </c>
      <c r="I7">
        <v>237</v>
      </c>
      <c r="J7">
        <v>1538</v>
      </c>
      <c r="K7">
        <v>1.18</v>
      </c>
      <c r="L7">
        <v>35103</v>
      </c>
      <c r="M7">
        <v>26.99</v>
      </c>
    </row>
    <row r="8" spans="1:13" x14ac:dyDescent="0.35">
      <c r="A8" t="s">
        <v>19</v>
      </c>
      <c r="B8">
        <v>509</v>
      </c>
      <c r="C8">
        <v>523</v>
      </c>
      <c r="D8">
        <v>524</v>
      </c>
      <c r="E8">
        <v>521</v>
      </c>
      <c r="F8">
        <v>559</v>
      </c>
      <c r="G8">
        <v>619</v>
      </c>
      <c r="H8">
        <v>666</v>
      </c>
      <c r="I8">
        <v>637</v>
      </c>
      <c r="J8">
        <v>4558</v>
      </c>
      <c r="K8">
        <v>3.5</v>
      </c>
      <c r="L8">
        <v>39661</v>
      </c>
      <c r="M8">
        <v>30.49</v>
      </c>
    </row>
    <row r="9" spans="1:13" x14ac:dyDescent="0.35">
      <c r="A9" t="s">
        <v>20</v>
      </c>
      <c r="B9">
        <v>292</v>
      </c>
      <c r="C9">
        <v>274</v>
      </c>
      <c r="D9">
        <v>294</v>
      </c>
      <c r="E9">
        <v>310</v>
      </c>
      <c r="F9">
        <v>298</v>
      </c>
      <c r="G9">
        <v>324</v>
      </c>
      <c r="H9">
        <v>416</v>
      </c>
      <c r="I9">
        <v>353</v>
      </c>
      <c r="J9">
        <v>2561</v>
      </c>
      <c r="K9">
        <v>1.97</v>
      </c>
      <c r="L9">
        <v>42222</v>
      </c>
      <c r="M9">
        <v>32.46</v>
      </c>
    </row>
    <row r="10" spans="1:13" x14ac:dyDescent="0.35">
      <c r="A10" t="s">
        <v>21</v>
      </c>
      <c r="B10">
        <v>134</v>
      </c>
      <c r="C10">
        <v>100</v>
      </c>
      <c r="D10">
        <v>157</v>
      </c>
      <c r="E10">
        <v>169</v>
      </c>
      <c r="F10">
        <v>178</v>
      </c>
      <c r="G10">
        <v>139</v>
      </c>
      <c r="H10">
        <v>254</v>
      </c>
      <c r="I10">
        <v>209</v>
      </c>
      <c r="J10">
        <v>1340</v>
      </c>
      <c r="K10">
        <v>1.03</v>
      </c>
      <c r="L10">
        <v>43562</v>
      </c>
      <c r="M10">
        <v>33.49</v>
      </c>
    </row>
    <row r="11" spans="1:13" x14ac:dyDescent="0.35">
      <c r="A11" t="s">
        <v>22</v>
      </c>
      <c r="B11">
        <v>333</v>
      </c>
      <c r="C11">
        <v>347</v>
      </c>
      <c r="D11">
        <v>365</v>
      </c>
      <c r="E11">
        <v>378</v>
      </c>
      <c r="F11">
        <v>394</v>
      </c>
      <c r="G11">
        <v>406</v>
      </c>
      <c r="H11">
        <v>419</v>
      </c>
      <c r="I11">
        <v>389</v>
      </c>
      <c r="J11">
        <v>3031</v>
      </c>
      <c r="K11">
        <v>2.33</v>
      </c>
      <c r="L11">
        <v>46593</v>
      </c>
      <c r="M11">
        <v>35.82</v>
      </c>
    </row>
    <row r="12" spans="1:13" x14ac:dyDescent="0.35">
      <c r="A12" t="s">
        <v>23</v>
      </c>
      <c r="B12">
        <v>265</v>
      </c>
      <c r="C12">
        <v>272</v>
      </c>
      <c r="D12">
        <v>260</v>
      </c>
      <c r="E12">
        <v>290</v>
      </c>
      <c r="F12">
        <v>360</v>
      </c>
      <c r="G12">
        <v>386</v>
      </c>
      <c r="H12">
        <v>388</v>
      </c>
      <c r="I12">
        <v>326</v>
      </c>
      <c r="J12">
        <v>2547</v>
      </c>
      <c r="K12">
        <v>1.96</v>
      </c>
      <c r="L12">
        <v>49140</v>
      </c>
      <c r="M12">
        <v>37.78</v>
      </c>
    </row>
    <row r="13" spans="1:13" x14ac:dyDescent="0.35">
      <c r="A13" t="s">
        <v>24</v>
      </c>
      <c r="B13">
        <v>299</v>
      </c>
      <c r="C13">
        <v>310</v>
      </c>
      <c r="D13">
        <v>307</v>
      </c>
      <c r="E13">
        <v>343</v>
      </c>
      <c r="F13">
        <v>390</v>
      </c>
      <c r="G13">
        <v>443</v>
      </c>
      <c r="H13">
        <v>459</v>
      </c>
      <c r="I13">
        <v>404</v>
      </c>
      <c r="J13">
        <v>2955</v>
      </c>
      <c r="K13">
        <v>2.27</v>
      </c>
      <c r="L13">
        <v>52095</v>
      </c>
      <c r="M13">
        <v>40.049999999999997</v>
      </c>
    </row>
    <row r="14" spans="1:13" x14ac:dyDescent="0.35">
      <c r="A14" t="s">
        <v>25</v>
      </c>
      <c r="B14">
        <v>197</v>
      </c>
      <c r="C14">
        <v>178</v>
      </c>
      <c r="D14">
        <v>224</v>
      </c>
      <c r="E14">
        <v>238</v>
      </c>
      <c r="F14">
        <v>278</v>
      </c>
      <c r="G14">
        <v>293</v>
      </c>
      <c r="H14">
        <v>271</v>
      </c>
      <c r="I14">
        <v>233</v>
      </c>
      <c r="J14">
        <v>1912</v>
      </c>
      <c r="K14">
        <v>1.47</v>
      </c>
      <c r="L14">
        <v>54007</v>
      </c>
      <c r="M14">
        <v>41.52</v>
      </c>
    </row>
    <row r="15" spans="1:13" x14ac:dyDescent="0.35">
      <c r="A15" t="s">
        <v>26</v>
      </c>
      <c r="B15">
        <v>332</v>
      </c>
      <c r="C15">
        <v>371</v>
      </c>
      <c r="D15">
        <v>371</v>
      </c>
      <c r="E15">
        <v>379</v>
      </c>
      <c r="F15">
        <v>417</v>
      </c>
      <c r="G15">
        <v>409</v>
      </c>
      <c r="H15">
        <v>417</v>
      </c>
      <c r="I15">
        <v>408</v>
      </c>
      <c r="J15">
        <v>3104</v>
      </c>
      <c r="K15">
        <v>2.39</v>
      </c>
      <c r="L15">
        <v>57111</v>
      </c>
      <c r="M15">
        <v>43.9</v>
      </c>
    </row>
    <row r="16" spans="1:13" x14ac:dyDescent="0.35">
      <c r="A16" t="s">
        <v>27</v>
      </c>
      <c r="B16">
        <v>431</v>
      </c>
      <c r="C16">
        <v>435</v>
      </c>
      <c r="D16">
        <v>414</v>
      </c>
      <c r="E16">
        <v>386</v>
      </c>
      <c r="F16">
        <v>381</v>
      </c>
      <c r="G16">
        <v>420</v>
      </c>
      <c r="H16">
        <v>424</v>
      </c>
      <c r="I16">
        <v>349</v>
      </c>
      <c r="J16">
        <v>3240</v>
      </c>
      <c r="K16">
        <v>2.4900000000000002</v>
      </c>
      <c r="L16">
        <v>60351</v>
      </c>
      <c r="M16">
        <v>46.4</v>
      </c>
    </row>
    <row r="17" spans="1:13" x14ac:dyDescent="0.35">
      <c r="A17" t="s">
        <v>28</v>
      </c>
      <c r="B17">
        <v>130</v>
      </c>
      <c r="C17">
        <v>169</v>
      </c>
      <c r="D17">
        <v>156</v>
      </c>
      <c r="E17">
        <v>163</v>
      </c>
      <c r="F17">
        <v>178</v>
      </c>
      <c r="G17">
        <v>191</v>
      </c>
      <c r="H17">
        <v>195</v>
      </c>
      <c r="I17">
        <v>185</v>
      </c>
      <c r="J17">
        <v>1367</v>
      </c>
      <c r="K17">
        <v>1.05</v>
      </c>
      <c r="L17">
        <v>61718</v>
      </c>
      <c r="M17">
        <v>47.45</v>
      </c>
    </row>
    <row r="18" spans="1:13" x14ac:dyDescent="0.35">
      <c r="A18" t="s">
        <v>29</v>
      </c>
      <c r="B18">
        <v>808</v>
      </c>
      <c r="C18">
        <v>738</v>
      </c>
      <c r="D18">
        <v>727</v>
      </c>
      <c r="E18">
        <v>760</v>
      </c>
      <c r="F18">
        <v>857</v>
      </c>
      <c r="G18">
        <v>933</v>
      </c>
      <c r="H18">
        <v>868</v>
      </c>
      <c r="I18">
        <v>831</v>
      </c>
      <c r="J18">
        <v>6522</v>
      </c>
      <c r="K18">
        <v>5.01</v>
      </c>
      <c r="L18">
        <v>68240</v>
      </c>
      <c r="M18">
        <v>52.46</v>
      </c>
    </row>
    <row r="19" spans="1:13" x14ac:dyDescent="0.35">
      <c r="A19" t="s">
        <v>30</v>
      </c>
      <c r="B19">
        <v>268</v>
      </c>
      <c r="C19">
        <v>299</v>
      </c>
      <c r="D19">
        <v>311</v>
      </c>
      <c r="E19">
        <v>303</v>
      </c>
      <c r="F19">
        <v>334</v>
      </c>
      <c r="G19">
        <v>296</v>
      </c>
      <c r="H19">
        <v>330</v>
      </c>
      <c r="I19">
        <v>318</v>
      </c>
      <c r="J19">
        <v>2459</v>
      </c>
      <c r="K19">
        <v>1.89</v>
      </c>
      <c r="L19">
        <v>70699</v>
      </c>
      <c r="M19">
        <v>54.35</v>
      </c>
    </row>
    <row r="20" spans="1:13" x14ac:dyDescent="0.35">
      <c r="A20" t="s">
        <v>31</v>
      </c>
      <c r="B20">
        <v>175</v>
      </c>
      <c r="C20">
        <v>167</v>
      </c>
      <c r="D20">
        <v>173</v>
      </c>
      <c r="E20">
        <v>187</v>
      </c>
      <c r="F20">
        <v>149</v>
      </c>
      <c r="G20">
        <v>191</v>
      </c>
      <c r="H20">
        <v>196</v>
      </c>
      <c r="I20">
        <v>178</v>
      </c>
      <c r="J20">
        <v>1416</v>
      </c>
      <c r="K20">
        <v>1.0900000000000001</v>
      </c>
      <c r="L20">
        <v>72115</v>
      </c>
      <c r="M20">
        <v>55.44</v>
      </c>
    </row>
    <row r="21" spans="1:13" x14ac:dyDescent="0.35">
      <c r="A21" t="s">
        <v>32</v>
      </c>
      <c r="B21">
        <v>39</v>
      </c>
      <c r="C21">
        <v>51</v>
      </c>
      <c r="D21">
        <v>42</v>
      </c>
      <c r="E21">
        <v>50</v>
      </c>
      <c r="F21">
        <v>47</v>
      </c>
      <c r="G21">
        <v>43</v>
      </c>
      <c r="H21">
        <v>45</v>
      </c>
      <c r="I21">
        <v>39</v>
      </c>
      <c r="J21">
        <v>356</v>
      </c>
      <c r="K21">
        <v>0.27</v>
      </c>
      <c r="L21">
        <v>72471</v>
      </c>
      <c r="M21">
        <v>55.71</v>
      </c>
    </row>
    <row r="22" spans="1:13" x14ac:dyDescent="0.35">
      <c r="A22" t="s">
        <v>33</v>
      </c>
      <c r="B22">
        <v>122</v>
      </c>
      <c r="C22">
        <v>134</v>
      </c>
      <c r="D22">
        <v>189</v>
      </c>
      <c r="E22">
        <v>209</v>
      </c>
      <c r="F22">
        <v>256</v>
      </c>
      <c r="G22">
        <v>264</v>
      </c>
      <c r="H22">
        <v>273</v>
      </c>
      <c r="I22">
        <v>278</v>
      </c>
      <c r="J22">
        <v>1725</v>
      </c>
      <c r="K22">
        <v>1.33</v>
      </c>
      <c r="L22">
        <v>74196</v>
      </c>
      <c r="M22">
        <v>57.04</v>
      </c>
    </row>
    <row r="23" spans="1:13" x14ac:dyDescent="0.35">
      <c r="A23" t="s">
        <v>34</v>
      </c>
      <c r="B23">
        <v>205</v>
      </c>
      <c r="C23">
        <v>269</v>
      </c>
      <c r="D23">
        <v>216</v>
      </c>
      <c r="E23">
        <v>258</v>
      </c>
      <c r="F23">
        <v>190</v>
      </c>
      <c r="G23">
        <v>199</v>
      </c>
      <c r="H23">
        <v>266</v>
      </c>
      <c r="I23">
        <v>230</v>
      </c>
      <c r="J23">
        <v>1833</v>
      </c>
      <c r="K23">
        <v>1.41</v>
      </c>
      <c r="L23">
        <v>76029</v>
      </c>
      <c r="M23">
        <v>58.45</v>
      </c>
    </row>
    <row r="24" spans="1:13" x14ac:dyDescent="0.35">
      <c r="A24" t="s">
        <v>35</v>
      </c>
      <c r="B24">
        <v>191</v>
      </c>
      <c r="C24">
        <v>202</v>
      </c>
      <c r="D24">
        <v>200</v>
      </c>
      <c r="E24">
        <v>182</v>
      </c>
      <c r="F24">
        <v>199</v>
      </c>
      <c r="G24">
        <v>166</v>
      </c>
      <c r="H24">
        <v>164</v>
      </c>
      <c r="I24">
        <v>188</v>
      </c>
      <c r="J24">
        <v>1492</v>
      </c>
      <c r="K24">
        <v>1.1499999999999999</v>
      </c>
      <c r="L24">
        <v>77521</v>
      </c>
      <c r="M24">
        <v>59.59</v>
      </c>
    </row>
    <row r="25" spans="1:13" x14ac:dyDescent="0.35">
      <c r="A25" t="s">
        <v>36</v>
      </c>
      <c r="B25">
        <v>144</v>
      </c>
      <c r="C25">
        <v>119</v>
      </c>
      <c r="D25">
        <v>152</v>
      </c>
      <c r="E25">
        <v>142</v>
      </c>
      <c r="F25">
        <v>132</v>
      </c>
      <c r="G25">
        <v>155</v>
      </c>
      <c r="H25">
        <v>187</v>
      </c>
      <c r="I25">
        <v>196</v>
      </c>
      <c r="J25">
        <v>1227</v>
      </c>
      <c r="K25">
        <v>0.94</v>
      </c>
      <c r="L25">
        <v>78748</v>
      </c>
      <c r="M25">
        <v>60.54</v>
      </c>
    </row>
    <row r="26" spans="1:13" x14ac:dyDescent="0.35">
      <c r="A26" t="s">
        <v>37</v>
      </c>
      <c r="B26">
        <v>235</v>
      </c>
      <c r="C26">
        <v>247</v>
      </c>
      <c r="D26">
        <v>214</v>
      </c>
      <c r="E26">
        <v>203</v>
      </c>
      <c r="F26">
        <v>217</v>
      </c>
      <c r="G26">
        <v>219</v>
      </c>
      <c r="H26">
        <v>194</v>
      </c>
      <c r="I26">
        <v>197</v>
      </c>
      <c r="J26">
        <v>1726</v>
      </c>
      <c r="K26">
        <v>1.33</v>
      </c>
      <c r="L26">
        <v>80474</v>
      </c>
      <c r="M26">
        <v>61.87</v>
      </c>
    </row>
    <row r="27" spans="1:13" x14ac:dyDescent="0.35">
      <c r="A27" t="s">
        <v>38</v>
      </c>
      <c r="B27">
        <v>167</v>
      </c>
      <c r="C27">
        <v>182</v>
      </c>
      <c r="D27">
        <v>196</v>
      </c>
      <c r="E27">
        <v>191</v>
      </c>
      <c r="F27">
        <v>217</v>
      </c>
      <c r="G27">
        <v>228</v>
      </c>
      <c r="H27">
        <v>218</v>
      </c>
      <c r="I27">
        <v>198</v>
      </c>
      <c r="J27">
        <v>1597</v>
      </c>
      <c r="K27">
        <v>1.23</v>
      </c>
      <c r="L27">
        <v>82071</v>
      </c>
      <c r="M27">
        <v>63.09</v>
      </c>
    </row>
    <row r="28" spans="1:13" x14ac:dyDescent="0.35">
      <c r="A28" t="s">
        <v>39</v>
      </c>
      <c r="B28">
        <v>288</v>
      </c>
      <c r="C28">
        <v>315</v>
      </c>
      <c r="D28">
        <v>341</v>
      </c>
      <c r="E28">
        <v>388</v>
      </c>
      <c r="F28">
        <v>408</v>
      </c>
      <c r="G28">
        <v>417</v>
      </c>
      <c r="H28">
        <v>420</v>
      </c>
      <c r="I28">
        <v>370</v>
      </c>
      <c r="J28">
        <v>2947</v>
      </c>
      <c r="K28">
        <v>2.27</v>
      </c>
      <c r="L28">
        <v>85018</v>
      </c>
      <c r="M28">
        <v>65.36</v>
      </c>
    </row>
    <row r="29" spans="1:13" x14ac:dyDescent="0.35">
      <c r="A29" t="s">
        <v>40</v>
      </c>
      <c r="B29">
        <v>381</v>
      </c>
      <c r="C29">
        <v>356</v>
      </c>
      <c r="D29">
        <v>426</v>
      </c>
      <c r="E29">
        <v>489</v>
      </c>
      <c r="F29">
        <v>467</v>
      </c>
      <c r="G29">
        <v>512</v>
      </c>
      <c r="H29">
        <v>496</v>
      </c>
      <c r="I29">
        <v>448</v>
      </c>
      <c r="J29">
        <v>3575</v>
      </c>
      <c r="K29">
        <v>2.75</v>
      </c>
      <c r="L29">
        <v>88593</v>
      </c>
      <c r="M29">
        <v>68.11</v>
      </c>
    </row>
    <row r="30" spans="1:13" x14ac:dyDescent="0.35">
      <c r="A30" t="s">
        <v>41</v>
      </c>
      <c r="B30">
        <v>214</v>
      </c>
      <c r="C30">
        <v>275</v>
      </c>
      <c r="D30">
        <v>224</v>
      </c>
      <c r="E30">
        <v>129</v>
      </c>
      <c r="F30">
        <v>252</v>
      </c>
      <c r="G30">
        <v>389</v>
      </c>
      <c r="H30">
        <v>214</v>
      </c>
      <c r="I30">
        <v>280</v>
      </c>
      <c r="J30">
        <v>1977</v>
      </c>
      <c r="K30">
        <v>1.52</v>
      </c>
      <c r="L30">
        <v>90570</v>
      </c>
      <c r="M30">
        <v>69.63</v>
      </c>
    </row>
    <row r="31" spans="1:13" x14ac:dyDescent="0.35">
      <c r="A31" t="s">
        <v>42</v>
      </c>
      <c r="B31">
        <v>132</v>
      </c>
      <c r="C31">
        <v>152</v>
      </c>
      <c r="D31">
        <v>171</v>
      </c>
      <c r="E31">
        <v>167</v>
      </c>
      <c r="F31">
        <v>191</v>
      </c>
      <c r="G31">
        <v>218</v>
      </c>
      <c r="H31">
        <v>203</v>
      </c>
      <c r="I31">
        <v>242</v>
      </c>
      <c r="J31">
        <v>1476</v>
      </c>
      <c r="K31">
        <v>1.1299999999999999</v>
      </c>
      <c r="L31">
        <v>92046</v>
      </c>
      <c r="M31">
        <v>70.760000000000005</v>
      </c>
    </row>
    <row r="32" spans="1:13" x14ac:dyDescent="0.35">
      <c r="A32" t="s">
        <v>43</v>
      </c>
      <c r="B32">
        <v>161</v>
      </c>
      <c r="C32">
        <v>78</v>
      </c>
      <c r="D32">
        <v>153</v>
      </c>
      <c r="E32">
        <v>86</v>
      </c>
      <c r="F32">
        <v>133</v>
      </c>
      <c r="G32">
        <v>189</v>
      </c>
      <c r="H32">
        <v>160</v>
      </c>
      <c r="I32">
        <v>43</v>
      </c>
      <c r="J32">
        <v>1003</v>
      </c>
      <c r="K32">
        <v>0.77</v>
      </c>
      <c r="L32">
        <v>93049</v>
      </c>
      <c r="M32">
        <v>71.53</v>
      </c>
    </row>
    <row r="33" spans="1:13" x14ac:dyDescent="0.35">
      <c r="A33" t="s">
        <v>44</v>
      </c>
      <c r="B33">
        <v>210</v>
      </c>
      <c r="C33">
        <v>213</v>
      </c>
      <c r="D33">
        <v>209</v>
      </c>
      <c r="E33">
        <v>230</v>
      </c>
      <c r="F33">
        <v>267</v>
      </c>
      <c r="G33">
        <v>230</v>
      </c>
      <c r="H33">
        <v>322</v>
      </c>
      <c r="I33">
        <v>200</v>
      </c>
      <c r="J33">
        <v>1881</v>
      </c>
      <c r="K33">
        <v>1.45</v>
      </c>
      <c r="L33">
        <v>94930</v>
      </c>
      <c r="M33">
        <v>72.98</v>
      </c>
    </row>
    <row r="34" spans="1:13" x14ac:dyDescent="0.35">
      <c r="A34" t="s">
        <v>45</v>
      </c>
      <c r="B34">
        <v>77</v>
      </c>
      <c r="C34">
        <v>72</v>
      </c>
      <c r="D34">
        <v>66</v>
      </c>
      <c r="E34">
        <v>75</v>
      </c>
      <c r="F34">
        <v>79</v>
      </c>
      <c r="G34">
        <v>92</v>
      </c>
      <c r="H34">
        <v>88</v>
      </c>
      <c r="I34">
        <v>82</v>
      </c>
      <c r="J34">
        <v>631</v>
      </c>
      <c r="K34">
        <v>0.49</v>
      </c>
      <c r="L34">
        <v>95561</v>
      </c>
      <c r="M34">
        <v>73.459999999999994</v>
      </c>
    </row>
    <row r="35" spans="1:13" x14ac:dyDescent="0.35">
      <c r="A35" t="s">
        <v>46</v>
      </c>
      <c r="B35">
        <v>207</v>
      </c>
      <c r="C35">
        <v>220</v>
      </c>
      <c r="D35">
        <v>230</v>
      </c>
      <c r="E35">
        <v>190</v>
      </c>
      <c r="F35">
        <v>195</v>
      </c>
      <c r="G35">
        <v>241</v>
      </c>
      <c r="H35">
        <v>234</v>
      </c>
      <c r="I35">
        <v>245</v>
      </c>
      <c r="J35">
        <v>1762</v>
      </c>
      <c r="K35">
        <v>1.35</v>
      </c>
      <c r="L35">
        <v>97323</v>
      </c>
      <c r="M35">
        <v>74.819999999999993</v>
      </c>
    </row>
    <row r="36" spans="1:13" x14ac:dyDescent="0.35">
      <c r="A36" t="s">
        <v>47</v>
      </c>
      <c r="B36">
        <v>186</v>
      </c>
      <c r="C36">
        <v>288</v>
      </c>
      <c r="D36">
        <v>218</v>
      </c>
      <c r="E36">
        <v>254</v>
      </c>
      <c r="F36">
        <v>265</v>
      </c>
      <c r="G36">
        <v>269</v>
      </c>
      <c r="H36">
        <v>348</v>
      </c>
      <c r="I36">
        <v>263</v>
      </c>
      <c r="J36">
        <v>2091</v>
      </c>
      <c r="K36">
        <v>1.61</v>
      </c>
      <c r="L36">
        <v>99414</v>
      </c>
      <c r="M36">
        <v>76.430000000000007</v>
      </c>
    </row>
    <row r="37" spans="1:13" x14ac:dyDescent="0.35">
      <c r="A37" t="s">
        <v>48</v>
      </c>
      <c r="B37">
        <v>108</v>
      </c>
      <c r="C37">
        <v>105</v>
      </c>
      <c r="D37">
        <v>65</v>
      </c>
      <c r="E37">
        <v>39</v>
      </c>
      <c r="F37">
        <v>111</v>
      </c>
      <c r="G37">
        <v>131</v>
      </c>
      <c r="H37">
        <v>61</v>
      </c>
      <c r="I37">
        <v>122</v>
      </c>
      <c r="J37">
        <v>742</v>
      </c>
      <c r="K37">
        <v>0.56999999999999995</v>
      </c>
      <c r="L37">
        <v>100156</v>
      </c>
      <c r="M37">
        <v>77</v>
      </c>
    </row>
    <row r="38" spans="1:13" x14ac:dyDescent="0.35">
      <c r="A38" t="s">
        <v>49</v>
      </c>
      <c r="B38">
        <v>129</v>
      </c>
      <c r="C38">
        <v>127</v>
      </c>
      <c r="D38">
        <v>127</v>
      </c>
      <c r="E38">
        <v>127</v>
      </c>
      <c r="F38">
        <v>131</v>
      </c>
      <c r="G38">
        <v>135</v>
      </c>
      <c r="H38">
        <v>139</v>
      </c>
      <c r="I38">
        <v>128</v>
      </c>
      <c r="J38">
        <v>1043</v>
      </c>
      <c r="K38">
        <v>0.8</v>
      </c>
      <c r="L38">
        <v>101199</v>
      </c>
      <c r="M38">
        <v>77.8</v>
      </c>
    </row>
    <row r="39" spans="1:13" x14ac:dyDescent="0.35">
      <c r="A39" t="s">
        <v>50</v>
      </c>
      <c r="B39">
        <v>144</v>
      </c>
      <c r="C39">
        <v>147</v>
      </c>
      <c r="D39">
        <v>163</v>
      </c>
      <c r="E39">
        <v>162</v>
      </c>
      <c r="F39">
        <v>153</v>
      </c>
      <c r="G39">
        <v>168</v>
      </c>
      <c r="H39">
        <v>172</v>
      </c>
      <c r="I39">
        <v>150</v>
      </c>
      <c r="J39">
        <v>1259</v>
      </c>
      <c r="K39">
        <v>0.97</v>
      </c>
      <c r="L39">
        <v>102458</v>
      </c>
      <c r="M39">
        <v>78.77</v>
      </c>
    </row>
    <row r="40" spans="1:13" x14ac:dyDescent="0.35">
      <c r="A40" t="s">
        <v>51</v>
      </c>
      <c r="B40">
        <v>91</v>
      </c>
      <c r="C40">
        <v>99</v>
      </c>
      <c r="D40">
        <v>87</v>
      </c>
      <c r="E40">
        <v>98</v>
      </c>
      <c r="F40">
        <v>111</v>
      </c>
      <c r="G40">
        <v>122</v>
      </c>
      <c r="H40">
        <v>118</v>
      </c>
      <c r="I40">
        <v>110</v>
      </c>
      <c r="J40">
        <v>836</v>
      </c>
      <c r="K40">
        <v>0.64</v>
      </c>
      <c r="L40">
        <v>103294</v>
      </c>
      <c r="M40">
        <v>79.41</v>
      </c>
    </row>
    <row r="41" spans="1:13" x14ac:dyDescent="0.35">
      <c r="A41" t="s">
        <v>52</v>
      </c>
      <c r="B41">
        <v>166</v>
      </c>
      <c r="C41">
        <v>156</v>
      </c>
      <c r="D41">
        <v>171</v>
      </c>
      <c r="E41">
        <v>100</v>
      </c>
      <c r="F41">
        <v>167</v>
      </c>
      <c r="G41">
        <v>182</v>
      </c>
      <c r="H41">
        <v>173</v>
      </c>
      <c r="I41">
        <v>176</v>
      </c>
      <c r="J41">
        <v>1291</v>
      </c>
      <c r="K41">
        <v>0.99</v>
      </c>
      <c r="L41">
        <v>104585</v>
      </c>
      <c r="M41">
        <v>80.400000000000006</v>
      </c>
    </row>
    <row r="42" spans="1:13" x14ac:dyDescent="0.35">
      <c r="A42" t="s">
        <v>53</v>
      </c>
      <c r="B42">
        <v>108</v>
      </c>
      <c r="C42">
        <v>137</v>
      </c>
      <c r="D42">
        <v>32</v>
      </c>
      <c r="E42">
        <v>119</v>
      </c>
      <c r="F42">
        <v>79</v>
      </c>
      <c r="G42">
        <v>49</v>
      </c>
      <c r="H42">
        <v>92</v>
      </c>
      <c r="I42">
        <v>93</v>
      </c>
      <c r="J42">
        <v>709</v>
      </c>
      <c r="K42">
        <v>0.55000000000000004</v>
      </c>
      <c r="L42">
        <v>105294</v>
      </c>
      <c r="M42">
        <v>80.95</v>
      </c>
    </row>
    <row r="43" spans="1:13" x14ac:dyDescent="0.35">
      <c r="A43" t="s">
        <v>54</v>
      </c>
      <c r="B43">
        <v>158</v>
      </c>
      <c r="C43">
        <v>227</v>
      </c>
      <c r="D43">
        <v>219</v>
      </c>
      <c r="E43">
        <v>232</v>
      </c>
      <c r="F43">
        <v>274</v>
      </c>
      <c r="G43">
        <v>233</v>
      </c>
      <c r="H43">
        <v>297</v>
      </c>
      <c r="I43">
        <v>248</v>
      </c>
      <c r="J43">
        <v>1888</v>
      </c>
      <c r="K43">
        <v>1.45</v>
      </c>
      <c r="L43">
        <v>107182</v>
      </c>
      <c r="M43">
        <v>82.4</v>
      </c>
    </row>
    <row r="44" spans="1:13" x14ac:dyDescent="0.35">
      <c r="A44" t="s">
        <v>55</v>
      </c>
      <c r="B44">
        <v>149</v>
      </c>
      <c r="C44">
        <v>171</v>
      </c>
      <c r="D44">
        <v>151</v>
      </c>
      <c r="E44">
        <v>189</v>
      </c>
      <c r="F44">
        <v>177</v>
      </c>
      <c r="G44">
        <v>187</v>
      </c>
      <c r="H44">
        <v>176</v>
      </c>
      <c r="I44">
        <v>83</v>
      </c>
      <c r="J44">
        <v>1283</v>
      </c>
      <c r="K44">
        <v>0.99</v>
      </c>
      <c r="L44">
        <v>108465</v>
      </c>
      <c r="M44">
        <v>83.38</v>
      </c>
    </row>
    <row r="45" spans="1:13" x14ac:dyDescent="0.35">
      <c r="A45" t="s">
        <v>56</v>
      </c>
      <c r="B45">
        <v>152</v>
      </c>
      <c r="C45">
        <v>107</v>
      </c>
      <c r="D45">
        <v>213</v>
      </c>
      <c r="E45">
        <v>142</v>
      </c>
      <c r="F45">
        <v>201</v>
      </c>
      <c r="G45">
        <v>216</v>
      </c>
      <c r="H45">
        <v>205</v>
      </c>
      <c r="I45">
        <v>170</v>
      </c>
      <c r="J45">
        <v>1406</v>
      </c>
      <c r="K45">
        <v>1.08</v>
      </c>
      <c r="L45">
        <v>109871</v>
      </c>
      <c r="M45">
        <v>84.46</v>
      </c>
    </row>
    <row r="46" spans="1:13" x14ac:dyDescent="0.35">
      <c r="A46" t="s">
        <v>57</v>
      </c>
      <c r="B46">
        <v>59</v>
      </c>
      <c r="C46">
        <v>172</v>
      </c>
      <c r="D46">
        <v>205</v>
      </c>
      <c r="E46">
        <v>179</v>
      </c>
      <c r="F46">
        <v>180</v>
      </c>
      <c r="G46">
        <v>253</v>
      </c>
      <c r="H46">
        <v>157</v>
      </c>
      <c r="I46">
        <v>313</v>
      </c>
      <c r="J46">
        <v>1518</v>
      </c>
      <c r="K46">
        <v>1.17</v>
      </c>
      <c r="L46">
        <v>111389</v>
      </c>
      <c r="M46">
        <v>85.63</v>
      </c>
    </row>
    <row r="47" spans="1:13" x14ac:dyDescent="0.35">
      <c r="A47" t="s">
        <v>58</v>
      </c>
      <c r="B47">
        <v>139</v>
      </c>
      <c r="C47">
        <v>153</v>
      </c>
      <c r="D47">
        <v>170</v>
      </c>
      <c r="E47">
        <v>190</v>
      </c>
      <c r="F47">
        <v>213</v>
      </c>
      <c r="G47">
        <v>237</v>
      </c>
      <c r="H47">
        <v>239</v>
      </c>
      <c r="I47">
        <v>246</v>
      </c>
      <c r="J47">
        <v>1587</v>
      </c>
      <c r="K47">
        <v>1.22</v>
      </c>
      <c r="L47">
        <v>112976</v>
      </c>
      <c r="M47">
        <v>86.85</v>
      </c>
    </row>
    <row r="48" spans="1:13" x14ac:dyDescent="0.35">
      <c r="A48" t="s">
        <v>59</v>
      </c>
      <c r="B48">
        <v>145</v>
      </c>
      <c r="C48">
        <v>119</v>
      </c>
      <c r="D48">
        <v>122</v>
      </c>
      <c r="E48">
        <v>116</v>
      </c>
      <c r="F48">
        <v>182</v>
      </c>
      <c r="G48">
        <v>129</v>
      </c>
      <c r="H48">
        <v>182</v>
      </c>
      <c r="I48">
        <v>174</v>
      </c>
      <c r="J48">
        <v>1169</v>
      </c>
      <c r="K48">
        <v>0.9</v>
      </c>
      <c r="L48">
        <v>114145</v>
      </c>
      <c r="M48">
        <v>87.75</v>
      </c>
    </row>
    <row r="49" spans="1:13" x14ac:dyDescent="0.35">
      <c r="A49" t="s">
        <v>60</v>
      </c>
      <c r="B49">
        <v>110</v>
      </c>
      <c r="C49">
        <v>104</v>
      </c>
      <c r="D49">
        <v>133</v>
      </c>
      <c r="E49">
        <v>158</v>
      </c>
      <c r="F49">
        <v>154</v>
      </c>
      <c r="G49">
        <v>148</v>
      </c>
      <c r="H49">
        <v>169</v>
      </c>
      <c r="I49">
        <v>156</v>
      </c>
      <c r="J49">
        <v>1132</v>
      </c>
      <c r="K49">
        <v>0.87</v>
      </c>
      <c r="L49">
        <v>115277</v>
      </c>
      <c r="M49">
        <v>88.62</v>
      </c>
    </row>
    <row r="50" spans="1:13" x14ac:dyDescent="0.35">
      <c r="A50" t="s">
        <v>61</v>
      </c>
      <c r="B50">
        <v>69</v>
      </c>
      <c r="C50">
        <v>76</v>
      </c>
      <c r="D50">
        <v>75</v>
      </c>
      <c r="E50">
        <v>87</v>
      </c>
      <c r="F50">
        <v>92</v>
      </c>
      <c r="G50">
        <v>101</v>
      </c>
      <c r="H50">
        <v>112</v>
      </c>
      <c r="I50">
        <v>103</v>
      </c>
      <c r="J50">
        <v>715</v>
      </c>
      <c r="K50">
        <v>0.55000000000000004</v>
      </c>
      <c r="L50">
        <v>115992</v>
      </c>
      <c r="M50">
        <v>89.17</v>
      </c>
    </row>
    <row r="51" spans="1:13" x14ac:dyDescent="0.35">
      <c r="A51" t="s">
        <v>62</v>
      </c>
      <c r="B51">
        <v>281</v>
      </c>
      <c r="C51">
        <v>311</v>
      </c>
      <c r="D51">
        <v>314</v>
      </c>
      <c r="E51">
        <v>361</v>
      </c>
      <c r="F51">
        <v>417</v>
      </c>
      <c r="G51">
        <v>460</v>
      </c>
      <c r="H51">
        <v>451</v>
      </c>
      <c r="I51">
        <v>395</v>
      </c>
      <c r="J51">
        <v>2990</v>
      </c>
      <c r="K51">
        <v>2.2999999999999998</v>
      </c>
      <c r="L51">
        <v>118982</v>
      </c>
      <c r="M51">
        <v>91.47</v>
      </c>
    </row>
    <row r="52" spans="1:13" x14ac:dyDescent="0.35">
      <c r="A52" t="s">
        <v>63</v>
      </c>
      <c r="B52">
        <v>93</v>
      </c>
      <c r="C52">
        <v>115</v>
      </c>
      <c r="D52">
        <v>113</v>
      </c>
      <c r="E52">
        <v>118</v>
      </c>
      <c r="F52">
        <v>83</v>
      </c>
      <c r="G52">
        <v>136</v>
      </c>
      <c r="H52">
        <v>143</v>
      </c>
      <c r="I52">
        <v>173</v>
      </c>
      <c r="J52">
        <v>974</v>
      </c>
      <c r="K52">
        <v>0.75</v>
      </c>
      <c r="L52">
        <v>119956</v>
      </c>
      <c r="M52">
        <v>92.22</v>
      </c>
    </row>
    <row r="53" spans="1:13" x14ac:dyDescent="0.35">
      <c r="A53" t="s">
        <v>64</v>
      </c>
      <c r="B53">
        <v>12</v>
      </c>
      <c r="C53">
        <v>21</v>
      </c>
      <c r="D53">
        <v>22</v>
      </c>
      <c r="E53">
        <v>25</v>
      </c>
      <c r="F53">
        <v>32</v>
      </c>
      <c r="G53">
        <v>28</v>
      </c>
      <c r="H53">
        <v>24</v>
      </c>
      <c r="I53">
        <v>22</v>
      </c>
      <c r="J53">
        <v>186</v>
      </c>
      <c r="K53">
        <v>0.14000000000000001</v>
      </c>
      <c r="L53">
        <v>120142</v>
      </c>
      <c r="M53">
        <v>92.36</v>
      </c>
    </row>
    <row r="54" spans="1:13" x14ac:dyDescent="0.35">
      <c r="A54" t="s">
        <v>65</v>
      </c>
      <c r="B54">
        <v>15</v>
      </c>
      <c r="C54">
        <v>11</v>
      </c>
      <c r="D54">
        <v>12</v>
      </c>
      <c r="E54">
        <v>12</v>
      </c>
      <c r="F54">
        <v>15</v>
      </c>
      <c r="G54">
        <v>15</v>
      </c>
      <c r="H54">
        <v>12</v>
      </c>
      <c r="I54">
        <v>9</v>
      </c>
      <c r="J54">
        <v>101</v>
      </c>
      <c r="K54">
        <v>0.08</v>
      </c>
      <c r="L54">
        <v>120243</v>
      </c>
      <c r="M54">
        <v>92.44</v>
      </c>
    </row>
    <row r="55" spans="1:13" x14ac:dyDescent="0.35">
      <c r="A55" t="s">
        <v>66</v>
      </c>
      <c r="B55">
        <v>288</v>
      </c>
      <c r="C55">
        <v>262</v>
      </c>
      <c r="D55">
        <v>228</v>
      </c>
      <c r="E55">
        <v>174</v>
      </c>
      <c r="F55">
        <v>263</v>
      </c>
      <c r="G55">
        <v>234</v>
      </c>
      <c r="H55">
        <v>337</v>
      </c>
      <c r="I55">
        <v>274</v>
      </c>
      <c r="J55">
        <v>2060</v>
      </c>
      <c r="K55">
        <v>1.58</v>
      </c>
      <c r="L55">
        <v>122303</v>
      </c>
      <c r="M55">
        <v>94.02</v>
      </c>
    </row>
    <row r="56" spans="1:13" x14ac:dyDescent="0.35">
      <c r="A56" t="s">
        <v>67</v>
      </c>
      <c r="B56">
        <v>105</v>
      </c>
      <c r="C56">
        <v>98</v>
      </c>
      <c r="D56">
        <v>96</v>
      </c>
      <c r="E56">
        <v>89</v>
      </c>
      <c r="F56">
        <v>98</v>
      </c>
      <c r="G56">
        <v>122</v>
      </c>
      <c r="H56">
        <v>113</v>
      </c>
      <c r="I56">
        <v>62</v>
      </c>
      <c r="J56">
        <v>783</v>
      </c>
      <c r="K56">
        <v>0.6</v>
      </c>
      <c r="L56">
        <v>123086</v>
      </c>
      <c r="M56">
        <v>94.62</v>
      </c>
    </row>
    <row r="57" spans="1:13" x14ac:dyDescent="0.35">
      <c r="A57" t="s">
        <v>68</v>
      </c>
      <c r="B57">
        <v>78</v>
      </c>
      <c r="C57">
        <v>85</v>
      </c>
      <c r="D57">
        <v>49</v>
      </c>
      <c r="E57">
        <v>106</v>
      </c>
      <c r="F57">
        <v>82</v>
      </c>
      <c r="G57">
        <v>109</v>
      </c>
      <c r="H57">
        <v>55</v>
      </c>
      <c r="I57">
        <v>91</v>
      </c>
      <c r="J57">
        <v>655</v>
      </c>
      <c r="K57">
        <v>0.5</v>
      </c>
      <c r="L57">
        <v>123741</v>
      </c>
      <c r="M57">
        <v>95.13</v>
      </c>
    </row>
    <row r="58" spans="1:13" x14ac:dyDescent="0.35">
      <c r="A58" t="s">
        <v>69</v>
      </c>
      <c r="B58">
        <v>5</v>
      </c>
      <c r="C58">
        <v>4</v>
      </c>
      <c r="D58">
        <v>4</v>
      </c>
      <c r="E58">
        <v>3</v>
      </c>
      <c r="F58">
        <v>6</v>
      </c>
      <c r="G58">
        <v>6</v>
      </c>
      <c r="H58">
        <v>6</v>
      </c>
      <c r="I58">
        <v>9</v>
      </c>
      <c r="J58">
        <v>43</v>
      </c>
      <c r="K58">
        <v>0.03</v>
      </c>
      <c r="L58">
        <v>123784</v>
      </c>
      <c r="M58">
        <v>95.16</v>
      </c>
    </row>
    <row r="59" spans="1:13" x14ac:dyDescent="0.35">
      <c r="A59" t="s">
        <v>70</v>
      </c>
      <c r="B59">
        <v>32</v>
      </c>
      <c r="C59">
        <v>29</v>
      </c>
      <c r="D59">
        <v>44</v>
      </c>
      <c r="E59">
        <v>37</v>
      </c>
      <c r="F59">
        <v>50</v>
      </c>
      <c r="G59">
        <v>33</v>
      </c>
      <c r="H59">
        <v>49</v>
      </c>
      <c r="I59">
        <v>43</v>
      </c>
      <c r="J59">
        <v>317</v>
      </c>
      <c r="K59">
        <v>0.24</v>
      </c>
      <c r="L59">
        <v>124101</v>
      </c>
      <c r="M59">
        <v>95.4</v>
      </c>
    </row>
    <row r="60" spans="1:13" x14ac:dyDescent="0.35">
      <c r="A60" t="s">
        <v>71</v>
      </c>
      <c r="B60">
        <v>5</v>
      </c>
      <c r="C60">
        <v>8</v>
      </c>
      <c r="D60">
        <v>5</v>
      </c>
      <c r="E60">
        <v>5</v>
      </c>
      <c r="F60">
        <v>9</v>
      </c>
      <c r="G60">
        <v>6</v>
      </c>
      <c r="H60">
        <v>10</v>
      </c>
      <c r="I60">
        <v>7</v>
      </c>
      <c r="J60">
        <v>55</v>
      </c>
      <c r="K60">
        <v>0.04</v>
      </c>
      <c r="L60">
        <v>124156</v>
      </c>
      <c r="M60">
        <v>95.45</v>
      </c>
    </row>
    <row r="61" spans="1:13" x14ac:dyDescent="0.35">
      <c r="A61" t="s">
        <v>72</v>
      </c>
      <c r="B61">
        <v>28</v>
      </c>
      <c r="C61">
        <v>30</v>
      </c>
      <c r="D61">
        <v>19</v>
      </c>
      <c r="E61">
        <v>27</v>
      </c>
      <c r="F61">
        <v>25</v>
      </c>
      <c r="G61">
        <v>30</v>
      </c>
      <c r="H61">
        <v>17</v>
      </c>
      <c r="I61">
        <v>41</v>
      </c>
      <c r="J61">
        <v>217</v>
      </c>
      <c r="K61">
        <v>0.17</v>
      </c>
      <c r="L61">
        <v>124373</v>
      </c>
      <c r="M61">
        <v>95.61</v>
      </c>
    </row>
    <row r="62" spans="1:13" x14ac:dyDescent="0.35">
      <c r="A62" t="s">
        <v>73</v>
      </c>
      <c r="B62">
        <v>93</v>
      </c>
      <c r="C62">
        <v>174</v>
      </c>
      <c r="D62">
        <v>180</v>
      </c>
      <c r="E62">
        <v>163</v>
      </c>
      <c r="F62">
        <v>157</v>
      </c>
      <c r="G62">
        <v>143</v>
      </c>
      <c r="H62">
        <v>147</v>
      </c>
      <c r="I62">
        <v>124</v>
      </c>
      <c r="J62">
        <v>1181</v>
      </c>
      <c r="K62">
        <v>0.91</v>
      </c>
      <c r="L62">
        <v>125554</v>
      </c>
      <c r="M62">
        <v>96.52</v>
      </c>
    </row>
    <row r="63" spans="1:13" x14ac:dyDescent="0.35">
      <c r="A63" t="s">
        <v>74</v>
      </c>
      <c r="B63">
        <v>40</v>
      </c>
      <c r="C63">
        <v>38</v>
      </c>
      <c r="D63">
        <v>39</v>
      </c>
      <c r="E63">
        <v>65</v>
      </c>
      <c r="F63">
        <v>63</v>
      </c>
      <c r="G63">
        <v>35</v>
      </c>
      <c r="H63">
        <v>39</v>
      </c>
      <c r="I63">
        <v>36</v>
      </c>
      <c r="J63">
        <v>355</v>
      </c>
      <c r="K63">
        <v>0.27</v>
      </c>
      <c r="L63">
        <v>125909</v>
      </c>
      <c r="M63">
        <v>96.79</v>
      </c>
    </row>
    <row r="64" spans="1:13" x14ac:dyDescent="0.35">
      <c r="A64" t="s">
        <v>75</v>
      </c>
      <c r="B64">
        <v>40</v>
      </c>
      <c r="C64">
        <v>45</v>
      </c>
      <c r="D64">
        <v>52</v>
      </c>
      <c r="E64">
        <v>56</v>
      </c>
      <c r="F64">
        <v>59</v>
      </c>
      <c r="G64">
        <v>61</v>
      </c>
      <c r="H64">
        <v>64</v>
      </c>
      <c r="I64">
        <v>61</v>
      </c>
      <c r="J64">
        <v>438</v>
      </c>
      <c r="K64">
        <v>0.34</v>
      </c>
      <c r="L64">
        <v>126347</v>
      </c>
      <c r="M64">
        <v>97.13</v>
      </c>
    </row>
    <row r="65" spans="1:13" x14ac:dyDescent="0.35">
      <c r="A65" t="s">
        <v>76</v>
      </c>
      <c r="B65">
        <v>12</v>
      </c>
      <c r="C65">
        <v>15</v>
      </c>
      <c r="D65">
        <v>15</v>
      </c>
      <c r="E65">
        <v>15</v>
      </c>
      <c r="F65">
        <v>15</v>
      </c>
      <c r="G65">
        <v>16</v>
      </c>
      <c r="H65">
        <v>22</v>
      </c>
      <c r="I65">
        <v>22</v>
      </c>
      <c r="J65">
        <v>132</v>
      </c>
      <c r="K65">
        <v>0.1</v>
      </c>
      <c r="L65">
        <v>126479</v>
      </c>
      <c r="M65">
        <v>97.23</v>
      </c>
    </row>
    <row r="66" spans="1:13" x14ac:dyDescent="0.35">
      <c r="A66" t="s">
        <v>77</v>
      </c>
      <c r="B66">
        <v>31</v>
      </c>
      <c r="C66">
        <v>36</v>
      </c>
      <c r="D66">
        <v>32</v>
      </c>
      <c r="E66">
        <v>26</v>
      </c>
      <c r="F66">
        <v>30</v>
      </c>
      <c r="G66">
        <v>27</v>
      </c>
      <c r="H66">
        <v>31</v>
      </c>
      <c r="I66">
        <v>22</v>
      </c>
      <c r="J66">
        <v>235</v>
      </c>
      <c r="K66">
        <v>0.18</v>
      </c>
      <c r="L66">
        <v>126714</v>
      </c>
      <c r="M66">
        <v>97.41</v>
      </c>
    </row>
    <row r="67" spans="1:13" x14ac:dyDescent="0.35">
      <c r="A67" t="s">
        <v>78</v>
      </c>
      <c r="B67">
        <v>62</v>
      </c>
      <c r="C67">
        <v>37</v>
      </c>
      <c r="D67">
        <v>53</v>
      </c>
      <c r="E67">
        <v>51</v>
      </c>
      <c r="F67">
        <v>74</v>
      </c>
      <c r="G67">
        <v>74</v>
      </c>
      <c r="H67">
        <v>70</v>
      </c>
      <c r="I67">
        <v>62</v>
      </c>
      <c r="J67">
        <v>483</v>
      </c>
      <c r="K67">
        <v>0.37</v>
      </c>
      <c r="L67">
        <v>127197</v>
      </c>
      <c r="M67">
        <v>97.78</v>
      </c>
    </row>
    <row r="68" spans="1:13" x14ac:dyDescent="0.35">
      <c r="A68" t="s">
        <v>79</v>
      </c>
      <c r="B68">
        <v>0</v>
      </c>
      <c r="C68">
        <v>0</v>
      </c>
      <c r="D68">
        <v>1</v>
      </c>
      <c r="E68">
        <v>1</v>
      </c>
      <c r="F68">
        <v>0</v>
      </c>
      <c r="G68">
        <v>1</v>
      </c>
      <c r="H68">
        <v>0</v>
      </c>
      <c r="I68">
        <v>2</v>
      </c>
      <c r="J68">
        <v>5</v>
      </c>
      <c r="K68">
        <v>0</v>
      </c>
      <c r="L68">
        <v>127202</v>
      </c>
      <c r="M68">
        <v>97.79</v>
      </c>
    </row>
    <row r="69" spans="1:13" x14ac:dyDescent="0.35">
      <c r="A69" t="s">
        <v>80</v>
      </c>
      <c r="B69">
        <v>34</v>
      </c>
      <c r="C69">
        <v>31</v>
      </c>
      <c r="D69">
        <v>39</v>
      </c>
      <c r="E69">
        <v>38</v>
      </c>
      <c r="F69">
        <v>37</v>
      </c>
      <c r="G69">
        <v>37</v>
      </c>
      <c r="H69">
        <v>42</v>
      </c>
      <c r="I69">
        <v>34</v>
      </c>
      <c r="J69">
        <v>292</v>
      </c>
      <c r="K69">
        <v>0.22</v>
      </c>
      <c r="L69">
        <v>127494</v>
      </c>
      <c r="M69">
        <v>98.01</v>
      </c>
    </row>
    <row r="70" spans="1:13" x14ac:dyDescent="0.35">
      <c r="A70" t="s">
        <v>81</v>
      </c>
      <c r="B70">
        <v>121</v>
      </c>
      <c r="C70">
        <v>87</v>
      </c>
      <c r="D70">
        <v>30</v>
      </c>
      <c r="E70">
        <v>58</v>
      </c>
      <c r="F70">
        <v>71</v>
      </c>
      <c r="G70">
        <v>76</v>
      </c>
      <c r="H70">
        <v>73</v>
      </c>
      <c r="I70">
        <v>69</v>
      </c>
      <c r="J70">
        <v>585</v>
      </c>
      <c r="K70">
        <v>0.45</v>
      </c>
      <c r="L70">
        <v>128079</v>
      </c>
      <c r="M70">
        <v>98.46</v>
      </c>
    </row>
    <row r="71" spans="1:13" x14ac:dyDescent="0.35">
      <c r="A71" t="s">
        <v>82</v>
      </c>
      <c r="B71">
        <v>14</v>
      </c>
      <c r="C71">
        <v>5</v>
      </c>
      <c r="D71">
        <v>1</v>
      </c>
      <c r="E71">
        <v>8</v>
      </c>
      <c r="F71">
        <v>23</v>
      </c>
      <c r="G71">
        <v>16</v>
      </c>
      <c r="H71">
        <v>5</v>
      </c>
      <c r="I71">
        <v>18</v>
      </c>
      <c r="J71">
        <v>90</v>
      </c>
      <c r="K71">
        <v>7.0000000000000007E-2</v>
      </c>
      <c r="L71">
        <v>128169</v>
      </c>
      <c r="M71">
        <v>98.53</v>
      </c>
    </row>
    <row r="72" spans="1:13" x14ac:dyDescent="0.35">
      <c r="A72" t="s">
        <v>83</v>
      </c>
      <c r="B72">
        <v>32</v>
      </c>
      <c r="C72">
        <v>32</v>
      </c>
      <c r="D72">
        <v>32</v>
      </c>
      <c r="E72">
        <v>38</v>
      </c>
      <c r="F72">
        <v>38</v>
      </c>
      <c r="G72">
        <v>38</v>
      </c>
      <c r="H72">
        <v>62</v>
      </c>
      <c r="I72">
        <v>52</v>
      </c>
      <c r="J72">
        <v>324</v>
      </c>
      <c r="K72">
        <v>0.25</v>
      </c>
      <c r="L72">
        <v>128493</v>
      </c>
      <c r="M72">
        <v>98.78</v>
      </c>
    </row>
    <row r="73" spans="1:13" x14ac:dyDescent="0.35">
      <c r="A73" t="s">
        <v>84</v>
      </c>
      <c r="B73">
        <v>23</v>
      </c>
      <c r="C73">
        <v>27</v>
      </c>
      <c r="D73">
        <v>29</v>
      </c>
      <c r="E73">
        <v>30</v>
      </c>
      <c r="F73">
        <v>25</v>
      </c>
      <c r="G73">
        <v>34</v>
      </c>
      <c r="H73">
        <v>40</v>
      </c>
      <c r="I73">
        <v>37</v>
      </c>
      <c r="J73">
        <v>245</v>
      </c>
      <c r="K73">
        <v>0.19</v>
      </c>
      <c r="L73">
        <v>128738</v>
      </c>
      <c r="M73">
        <v>98.97</v>
      </c>
    </row>
    <row r="74" spans="1:13" x14ac:dyDescent="0.35">
      <c r="A74" t="s">
        <v>85</v>
      </c>
      <c r="B74">
        <v>13</v>
      </c>
      <c r="C74">
        <v>13</v>
      </c>
      <c r="D74">
        <v>14</v>
      </c>
      <c r="E74">
        <v>20</v>
      </c>
      <c r="F74">
        <v>28</v>
      </c>
      <c r="G74">
        <v>24</v>
      </c>
      <c r="H74">
        <v>27</v>
      </c>
      <c r="I74">
        <v>24</v>
      </c>
      <c r="J74">
        <v>163</v>
      </c>
      <c r="K74">
        <v>0.13</v>
      </c>
      <c r="L74">
        <v>128901</v>
      </c>
      <c r="M74">
        <v>99.09</v>
      </c>
    </row>
    <row r="75" spans="1:13" x14ac:dyDescent="0.35">
      <c r="A75" t="s">
        <v>86</v>
      </c>
      <c r="B75">
        <v>10</v>
      </c>
      <c r="C75">
        <v>11</v>
      </c>
      <c r="D75">
        <v>12</v>
      </c>
      <c r="E75">
        <v>12</v>
      </c>
      <c r="F75">
        <v>16</v>
      </c>
      <c r="G75">
        <v>16</v>
      </c>
      <c r="H75">
        <v>19</v>
      </c>
      <c r="I75">
        <v>14</v>
      </c>
      <c r="J75">
        <v>110</v>
      </c>
      <c r="K75">
        <v>0.08</v>
      </c>
      <c r="L75">
        <v>129011</v>
      </c>
      <c r="M75">
        <v>99.18</v>
      </c>
    </row>
    <row r="76" spans="1:13" x14ac:dyDescent="0.35">
      <c r="A76" t="s">
        <v>87</v>
      </c>
      <c r="B76">
        <v>3</v>
      </c>
      <c r="C76">
        <v>7</v>
      </c>
      <c r="D76">
        <v>9</v>
      </c>
      <c r="E76">
        <v>9</v>
      </c>
      <c r="F76">
        <v>8</v>
      </c>
      <c r="G76">
        <v>5</v>
      </c>
      <c r="H76">
        <v>8</v>
      </c>
      <c r="I76">
        <v>6</v>
      </c>
      <c r="J76">
        <v>55</v>
      </c>
      <c r="K76">
        <v>0.04</v>
      </c>
      <c r="L76">
        <v>129066</v>
      </c>
      <c r="M76">
        <v>99.22</v>
      </c>
    </row>
    <row r="77" spans="1:13" x14ac:dyDescent="0.35">
      <c r="A77" t="s">
        <v>88</v>
      </c>
      <c r="B77">
        <v>26</v>
      </c>
      <c r="C77">
        <v>18</v>
      </c>
      <c r="D77">
        <v>28</v>
      </c>
      <c r="E77">
        <v>31</v>
      </c>
      <c r="F77">
        <v>32</v>
      </c>
      <c r="G77">
        <v>32</v>
      </c>
      <c r="H77">
        <v>37</v>
      </c>
      <c r="I77">
        <v>30</v>
      </c>
      <c r="J77">
        <v>234</v>
      </c>
      <c r="K77">
        <v>0.18</v>
      </c>
      <c r="L77">
        <v>129300</v>
      </c>
      <c r="M77">
        <v>99.4</v>
      </c>
    </row>
    <row r="78" spans="1:13" x14ac:dyDescent="0.35">
      <c r="A78" t="s">
        <v>89</v>
      </c>
      <c r="B78">
        <v>10</v>
      </c>
      <c r="C78">
        <v>13</v>
      </c>
      <c r="D78">
        <v>10</v>
      </c>
      <c r="E78">
        <v>10</v>
      </c>
      <c r="F78">
        <v>11</v>
      </c>
      <c r="G78">
        <v>8</v>
      </c>
      <c r="H78">
        <v>5</v>
      </c>
      <c r="I78">
        <v>3</v>
      </c>
      <c r="J78">
        <v>70</v>
      </c>
      <c r="K78">
        <v>0.05</v>
      </c>
      <c r="L78">
        <v>129370</v>
      </c>
      <c r="M78">
        <v>99.45</v>
      </c>
    </row>
    <row r="79" spans="1:13" x14ac:dyDescent="0.35">
      <c r="A79" t="s">
        <v>90</v>
      </c>
      <c r="B79">
        <v>20</v>
      </c>
      <c r="C79">
        <v>10</v>
      </c>
      <c r="D79">
        <v>15</v>
      </c>
      <c r="E79">
        <v>17</v>
      </c>
      <c r="F79">
        <v>16</v>
      </c>
      <c r="G79">
        <v>11</v>
      </c>
      <c r="H79">
        <v>15</v>
      </c>
      <c r="I79">
        <v>13</v>
      </c>
      <c r="J79">
        <v>117</v>
      </c>
      <c r="K79">
        <v>0.09</v>
      </c>
      <c r="L79">
        <v>129487</v>
      </c>
      <c r="M79">
        <v>99.54</v>
      </c>
    </row>
    <row r="80" spans="1:13" x14ac:dyDescent="0.35">
      <c r="A80" t="s">
        <v>91</v>
      </c>
      <c r="B80">
        <v>11</v>
      </c>
      <c r="C80">
        <v>15</v>
      </c>
      <c r="D80">
        <v>21</v>
      </c>
      <c r="E80">
        <v>22</v>
      </c>
      <c r="F80">
        <v>24</v>
      </c>
      <c r="G80">
        <v>27</v>
      </c>
      <c r="H80">
        <v>30</v>
      </c>
      <c r="I80">
        <v>28</v>
      </c>
      <c r="J80">
        <v>178</v>
      </c>
      <c r="K80">
        <v>0.14000000000000001</v>
      </c>
      <c r="L80">
        <v>129665</v>
      </c>
      <c r="M80">
        <v>99.68</v>
      </c>
    </row>
    <row r="81" spans="1:13" x14ac:dyDescent="0.35">
      <c r="A81" t="s">
        <v>92</v>
      </c>
      <c r="B81">
        <v>2</v>
      </c>
      <c r="C81">
        <v>3</v>
      </c>
      <c r="D81">
        <v>3</v>
      </c>
      <c r="E81">
        <v>5</v>
      </c>
      <c r="F81">
        <v>4</v>
      </c>
      <c r="G81">
        <v>5</v>
      </c>
      <c r="H81">
        <v>5</v>
      </c>
      <c r="I81">
        <v>6</v>
      </c>
      <c r="J81">
        <v>33</v>
      </c>
      <c r="K81">
        <v>0.03</v>
      </c>
      <c r="L81">
        <v>129698</v>
      </c>
      <c r="M81">
        <v>99.71</v>
      </c>
    </row>
    <row r="82" spans="1:13" x14ac:dyDescent="0.35">
      <c r="A82" t="s">
        <v>93</v>
      </c>
      <c r="B82">
        <v>3</v>
      </c>
      <c r="C82">
        <v>4</v>
      </c>
      <c r="D82">
        <v>3</v>
      </c>
      <c r="E82">
        <v>4</v>
      </c>
      <c r="F82">
        <v>4</v>
      </c>
      <c r="G82">
        <v>1</v>
      </c>
      <c r="H82">
        <v>1</v>
      </c>
      <c r="I82">
        <v>1</v>
      </c>
      <c r="J82">
        <v>21</v>
      </c>
      <c r="K82">
        <v>0.02</v>
      </c>
      <c r="L82">
        <v>129719</v>
      </c>
      <c r="M82">
        <v>99.72</v>
      </c>
    </row>
    <row r="83" spans="1:13" x14ac:dyDescent="0.35">
      <c r="A83" t="s">
        <v>94</v>
      </c>
      <c r="B83">
        <v>4</v>
      </c>
      <c r="C83">
        <v>3</v>
      </c>
      <c r="D83">
        <v>6</v>
      </c>
      <c r="E83">
        <v>10</v>
      </c>
      <c r="F83">
        <v>13</v>
      </c>
      <c r="G83">
        <v>11</v>
      </c>
      <c r="H83">
        <v>8</v>
      </c>
      <c r="I83">
        <v>8</v>
      </c>
      <c r="J83">
        <v>63</v>
      </c>
      <c r="K83">
        <v>0.05</v>
      </c>
      <c r="L83">
        <v>129782</v>
      </c>
      <c r="M83">
        <v>99.77</v>
      </c>
    </row>
    <row r="84" spans="1:13" x14ac:dyDescent="0.35">
      <c r="A84" t="s">
        <v>95</v>
      </c>
      <c r="B84">
        <v>23</v>
      </c>
      <c r="C84">
        <v>27</v>
      </c>
      <c r="D84">
        <v>27</v>
      </c>
      <c r="E84">
        <v>30</v>
      </c>
      <c r="F84">
        <v>29</v>
      </c>
      <c r="G84">
        <v>26</v>
      </c>
      <c r="H84">
        <v>29</v>
      </c>
      <c r="I84">
        <v>28</v>
      </c>
      <c r="J84">
        <v>219</v>
      </c>
      <c r="K84">
        <v>0.17</v>
      </c>
      <c r="L84">
        <v>130001</v>
      </c>
      <c r="M84">
        <v>99.94</v>
      </c>
    </row>
    <row r="85" spans="1:13" x14ac:dyDescent="0.35">
      <c r="A85" t="s">
        <v>96</v>
      </c>
      <c r="B85">
        <v>4</v>
      </c>
      <c r="C85">
        <v>4</v>
      </c>
      <c r="D85">
        <v>6</v>
      </c>
      <c r="E85">
        <v>9</v>
      </c>
      <c r="F85">
        <v>15</v>
      </c>
      <c r="G85">
        <v>10</v>
      </c>
      <c r="H85">
        <v>12</v>
      </c>
      <c r="I85">
        <v>12</v>
      </c>
      <c r="J85">
        <v>72</v>
      </c>
      <c r="K85">
        <v>0.06</v>
      </c>
      <c r="L85">
        <v>130073</v>
      </c>
      <c r="M85">
        <v>99.99</v>
      </c>
    </row>
    <row r="86" spans="1:13" x14ac:dyDescent="0.35">
      <c r="A86" t="s">
        <v>97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1</v>
      </c>
      <c r="J86">
        <v>3</v>
      </c>
      <c r="K86">
        <v>0</v>
      </c>
      <c r="L86">
        <v>130076</v>
      </c>
      <c r="M86">
        <v>100</v>
      </c>
    </row>
    <row r="87" spans="1:13" x14ac:dyDescent="0.35">
      <c r="A87" t="s">
        <v>98</v>
      </c>
      <c r="B87">
        <v>0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  <c r="I87">
        <v>1</v>
      </c>
      <c r="J87">
        <v>4</v>
      </c>
      <c r="K87">
        <v>0</v>
      </c>
      <c r="L87">
        <v>130080</v>
      </c>
      <c r="M87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Units_Reimbursed</vt:lpstr>
      <vt:lpstr>Prescriptions</vt:lpstr>
      <vt:lpstr>Indiana</vt:lpstr>
      <vt:lpstr>Indiana Vs National</vt:lpstr>
      <vt:lpstr>NDC_Counts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2025-11-12T20:32:53Z</dcterms:created>
  <dcterms:modified xsi:type="dcterms:W3CDTF">2025-11-17T04:02:43Z</dcterms:modified>
</cp:coreProperties>
</file>